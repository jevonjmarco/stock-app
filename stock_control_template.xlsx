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29f69ba28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61b18ee9e6754293"/>
    <x:sheet xmlns:r="http://schemas.openxmlformats.org/officeDocument/2006/relationships" name="SUPPLIER_MASTER" sheetId="2" r:id="R9a0d688b1fa94508"/>
    <x:sheet xmlns:r="http://schemas.openxmlformats.org/officeDocument/2006/relationships" name="PRODUK_MASTER" sheetId="3" r:id="R02bd5d9d2d524b72"/>
    <x:sheet xmlns:r="http://schemas.openxmlformats.org/officeDocument/2006/relationships" name="STOK_AWAL" sheetId="4" r:id="R8e29eba218a042b4"/>
    <x:sheet xmlns:r="http://schemas.openxmlformats.org/officeDocument/2006/relationships" name="TRANSAKSI_STOK" sheetId="5" r:id="R8964d176d99d4545"/>
    <x:sheet xmlns:r="http://schemas.openxmlformats.org/officeDocument/2006/relationships" name="OPNAME_FISIK" sheetId="6" r:id="Rbd80d6ac0a5e43cb"/>
    <x:sheet xmlns:r="http://schemas.openxmlformats.org/officeDocument/2006/relationships" name="WA_DRAFT" sheetId="7" r:id="R054ad52c9c2741cc"/>
    <x:sheet xmlns:r="http://schemas.openxmlformats.org/officeDocument/2006/relationships" name="STATUS_STOK" sheetId="8" r:id="R0dc671352b96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9C0006"/>
      </x:font>
      <x:fill>
        <x:patternFill patternType="solid">
          <x:bgColor rgb="F8CBAD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375623"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6bb664a17460a" /><Relationship Type="http://schemas.openxmlformats.org/officeDocument/2006/relationships/theme" Target="/xl/theme/theme1.xml" Id="R36d2e0fe70314a7d" /><Relationship Type="http://schemas.openxmlformats.org/officeDocument/2006/relationships/sharedStrings" Target="/xl/sharedStrings.xml" Id="R0f85530979564763" /><Relationship Type="http://schemas.openxmlformats.org/officeDocument/2006/relationships/worksheet" Target="/xl/worksheets/sheet1.xml" Id="R61b18ee9e6754293" /><Relationship Type="http://schemas.openxmlformats.org/officeDocument/2006/relationships/worksheet" Target="/xl/worksheets/sheet2.xml" Id="R9a0d688b1fa94508" /><Relationship Type="http://schemas.openxmlformats.org/officeDocument/2006/relationships/worksheet" Target="/xl/worksheets/sheet3.xml" Id="R02bd5d9d2d524b72" /><Relationship Type="http://schemas.openxmlformats.org/officeDocument/2006/relationships/worksheet" Target="/xl/worksheets/sheet4.xml" Id="R8e29eba218a042b4" /><Relationship Type="http://schemas.openxmlformats.org/officeDocument/2006/relationships/worksheet" Target="/xl/worksheets/sheet5.xml" Id="R8964d176d99d4545" /><Relationship Type="http://schemas.openxmlformats.org/officeDocument/2006/relationships/worksheet" Target="/xl/worksheets/sheet6.xml" Id="Rbd80d6ac0a5e43cb" /><Relationship Type="http://schemas.openxmlformats.org/officeDocument/2006/relationships/worksheet" Target="/xl/worksheets/sheet7.xml" Id="R054ad52c9c2741cc" /><Relationship Type="http://schemas.openxmlformats.org/officeDocument/2006/relationships/worksheet" Target="/xl/worksheets/sheet8.xml" Id="R0dc671352b96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3.290000915527344" hidden="0" customWidth="1"/>
    <x:col min="2" max="2" width="82.29000091552734" hidden="0" customWidth="1"/>
    <x:col min="3" max="3" width="0.05000000074505806" hidden="0" customWidth="1"/>
    <x:col min="4" max="4" width="15.569999694824219" hidden="0" customWidth="1"/>
    <x:col min="5" max="5" width="24" hidden="0" customWidth="1"/>
    <x:col min="6" max="6" width="10.140000343322754" hidden="0" customWidth="1"/>
  </x:cols>
  <x:sheetData>
    <x:row r="1" ht="17.08984375" hidden="0" customHeight="1">
      <x:c r="A1" s="7" t="str">
        <x:v>SISTEM STOK CAFE / SUPPLIER - TEMPLATE GOOGLE SHEET</x:v>
      </x:c>
      <x:c r="B1" s="7"/>
      <x:c r="C1" s="7"/>
      <x:c r="D1" s="7"/>
      <x:c r="E1" s="7"/>
      <x:c r="F1" s="7"/>
    </x:row>
    <x:row r="2" ht="17.08984375" hidden="0" customHeight="1">
      <x:c r="A2" s="8"/>
      <x:c r="B2" s="8"/>
      <x:c r="C2" s="8"/>
      <x:c r="D2" s="8"/>
      <x:c r="E2" s="8"/>
      <x:c r="F2" s="8"/>
    </x:row>
    <x:row r="3" ht="17.08984375" hidden="0" customHeight="1">
      <x:c r="A3" s="9" t="str">
        <x:v>Langkah</x:v>
      </x:c>
      <x:c r="B3" s="9" t="str">
        <x:v>Keterangan</x:v>
      </x:c>
      <x:c r="C3" s="8"/>
      <x:c r="D3" s="9" t="str">
        <x:v>Jenis Transaksi</x:v>
      </x:c>
      <x:c r="E3" s="9" t="str">
        <x:v>Arti</x:v>
      </x:c>
      <x:c r="F3" s="9" t="str">
        <x:v>Pengaruh</x:v>
      </x:c>
    </x:row>
    <x:row r="4" ht="17.08984375" hidden="0" customHeight="1">
      <x:c r="A4" s="8" t="str">
        <x:v>1</x:v>
      </x:c>
      <x:c r="B4" s="8" t="str">
        <x:v>Upload file ini ke Google Drive lalu buka dengan Google Sheets.</x:v>
      </x:c>
      <x:c r="C4" s="8"/>
      <x:c r="D4" s="8" t="str">
        <x:v>IN</x:v>
      </x:c>
      <x:c r="E4" s="8" t="str">
        <x:v>Barang masuk</x:v>
      </x:c>
      <x:c r="F4" s="8" t="str">
        <x:v>+ stok</x:v>
      </x:c>
    </x:row>
    <x:row r="5" ht="17.08984375" hidden="0" customHeight="1">
      <x:c r="A5" s="8" t="str">
        <x:v>2</x:v>
      </x:c>
      <x:c r="B5" s="8" t="str">
        <x:v>Isi No_WA supplier di sheet SUPPLIER_MASTER.</x:v>
      </x:c>
      <x:c r="C5" s="8"/>
      <x:c r="D5" s="8" t="str">
        <x:v>OUT</x:v>
      </x:c>
      <x:c r="E5" s="8" t="str">
        <x:v>Barang keluar / terjual</x:v>
      </x:c>
      <x:c r="F5" s="8" t="str">
        <x:v>- stok</x:v>
      </x:c>
    </x:row>
    <x:row r="6" ht="17.08984375" hidden="0" customHeight="1">
      <x:c r="A6" s="8" t="str">
        <x:v>3</x:v>
      </x:c>
      <x:c r="B6" s="8" t="str">
        <x:v>Input stok awal lewat web atau sheet STOK_AWAL.</x:v>
      </x:c>
      <x:c r="C6" s="8"/>
      <x:c r="D6" s="8" t="str">
        <x:v>REJECT</x:v>
      </x:c>
      <x:c r="E6" s="8" t="str">
        <x:v>Barang reject / rusak</x:v>
      </x:c>
      <x:c r="F6" s="8" t="str">
        <x:v>- stok</x:v>
      </x:c>
    </x:row>
    <x:row r="7" ht="17.08984375" hidden="0" customHeight="1">
      <x:c r="A7" s="8" t="str">
        <x:v>4</x:v>
      </x:c>
      <x:c r="B7" s="8" t="str">
        <x:v>Input transaksi masuk / keluar / reject / expired lewat web.</x:v>
      </x:c>
      <x:c r="C7" s="8"/>
      <x:c r="D7" s="8" t="str">
        <x:v>EXPIRED</x:v>
      </x:c>
      <x:c r="E7" s="8" t="str">
        <x:v>Barang expired</x:v>
      </x:c>
      <x:c r="F7" s="8" t="str">
        <x:v>- stok</x:v>
      </x:c>
    </x:row>
    <x:row r="8" ht="17.08984375" hidden="0" customHeight="1">
      <x:c r="A8" s="8" t="str">
        <x:v>5</x:v>
      </x:c>
      <x:c r="B8" s="8" t="str">
        <x:v>Input cek fisik di sheet / form OPNAME_FISIK saat stok opname.</x:v>
      </x:c>
      <x:c r="C8" s="8"/>
      <x:c r="D8" s="8"/>
      <x:c r="E8" s="8"/>
      <x:c r="F8" s="8"/>
    </x:row>
    <x:row r="9" ht="17.08984375" hidden="0" customHeight="1">
      <x:c r="A9" s="8" t="str">
        <x:v>6</x:v>
      </x:c>
      <x:c r="B9" s="8" t="str">
        <x:v>Lihat STATUS_STOK untuk stok sistem dan status barang.</x:v>
      </x:c>
      <x:c r="C9" s="8"/>
      <x:c r="D9" s="8"/>
      <x:c r="E9" s="8"/>
      <x:c r="F9" s="8"/>
    </x:row>
    <x:row r="10" ht="17.08984375" hidden="0" customHeight="1">
      <x:c r="A10" s="8" t="str">
        <x:v>7</x:v>
      </x:c>
      <x:c r="B10" s="8" t="str">
        <x:v>Gunakan menu WA_DRAFT atau web untuk membuat draft laporan supplier.</x:v>
      </x:c>
      <x:c r="C10" s="8"/>
      <x:c r="D10" s="8"/>
      <x:c r="E10" s="8"/>
      <x:c r="F10" s="8"/>
    </x:row>
    <x:row r="11" ht="17.08984375" hidden="0" customHeight="1">
      <x:c r="A11" s="8" t="str">
        <x:v>Catatan</x:v>
      </x:c>
      <x:c r="B11" s="8" t="str">
        <x:v>Semua qty awal dikosongkan sesuai permintaan. Isi dari stok awal hari ini.</x:v>
      </x:c>
      <x:c r="C11" s="8"/>
      <x:c r="D11" s="8"/>
      <x:c r="E11" s="8"/>
      <x:c r="F11" s="8"/>
    </x:row>
    <x:row r="12" ht="17.08984375" hidden="0" customHeight="1">
      <x:c r="A12" s="9" t="str">
        <x:v>Sheet</x:v>
      </x:c>
      <x:c r="B12" s="9" t="str">
        <x:v>Fungsi</x:v>
      </x:c>
      <x:c r="C12" s="8"/>
      <x:c r="D12" s="8"/>
      <x:c r="E12" s="8"/>
      <x:c r="F12" s="8"/>
    </x:row>
    <x:row r="13" ht="17.08984375" hidden="0" customHeight="1">
      <x:c r="A13" s="8" t="str">
        <x:v>SUPPLIER_MASTER</x:v>
      </x:c>
      <x:c r="B13" s="8" t="str">
        <x:v>Master supplier</x:v>
      </x:c>
      <x:c r="C13" s="8"/>
      <x:c r="D13" s="8"/>
      <x:c r="E13" s="8"/>
      <x:c r="F13" s="8"/>
    </x:row>
    <x:row r="14" ht="17.08984375" hidden="0" customHeight="1">
      <x:c r="A14" s="8" t="str">
        <x:v>PRODUK_MASTER</x:v>
      </x:c>
      <x:c r="B14" s="8" t="str">
        <x:v>Master produk per supplier</x:v>
      </x:c>
      <x:c r="C14" s="8"/>
      <x:c r="D14" s="8"/>
      <x:c r="E14" s="8"/>
      <x:c r="F14" s="8"/>
    </x:row>
    <x:row r="15" ht="17.08984375" hidden="0" customHeight="1">
      <x:c r="A15" s="8" t="str">
        <x:v>STOK_AWAL</x:v>
      </x:c>
      <x:c r="B15" s="8" t="str">
        <x:v>Input stok awal pertama / penyesuaian awal</x:v>
      </x:c>
      <x:c r="C15" s="8"/>
      <x:c r="D15" s="8"/>
      <x:c r="E15" s="8"/>
      <x:c r="F15" s="8"/>
    </x:row>
    <x:row r="16" ht="17.08984375" hidden="0" customHeight="1">
      <x:c r="A16" s="8" t="str">
        <x:v>TRANSAKSI_STOK</x:v>
      </x:c>
      <x:c r="B16" s="8" t="str">
        <x:v>IN / OUT / REJECT / EXPIRED</x:v>
      </x:c>
      <x:c r="C16" s="8"/>
      <x:c r="D16" s="8"/>
      <x:c r="E16" s="8"/>
      <x:c r="F16" s="8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430000305175781" hidden="0" customWidth="1"/>
    <x:col min="2" max="2" width="34" hidden="0" customWidth="1"/>
    <x:col min="3" max="3" width="8.140000343322754" hidden="0" customWidth="1"/>
    <x:col min="4" max="4" width="5" hidden="0" customWidth="1"/>
  </x:cols>
  <x:sheetData>
    <x:row r="1" ht="17.08984375" hidden="0" customHeight="1">
      <x:c r="A1" s="7" t="str">
        <x:v>Supplier_ID</x:v>
      </x:c>
      <x:c r="B1" s="7" t="str">
        <x:v>Nama_Supplier</x:v>
      </x:c>
      <x:c r="C1" s="7" t="str">
        <x:v>No_WA</x:v>
      </x:c>
      <x:c r="D1" s="7" t="str">
        <x:v>Aktif</x:v>
      </x:c>
    </x:row>
    <x:row r="2" ht="17.08984375" hidden="0" customHeight="1">
      <x:c r="A2" s="8" t="str">
        <x:v>SUP-001</x:v>
      </x:c>
      <x:c r="B2" s="8" t="str">
        <x:v>LE BANANA CRIPIK</x:v>
      </x:c>
      <x:c r="C2" s="8"/>
      <x:c r="D2" s="8" t="str">
        <x:v>YA</x:v>
      </x:c>
    </x:row>
    <x:row r="3" ht="17.08984375" hidden="0" customHeight="1">
      <x:c r="A3" s="8" t="str">
        <x:v>SUP-002</x:v>
      </x:c>
      <x:c r="B3" s="8" t="str">
        <x:v>PUKIS SURABAYA</x:v>
      </x:c>
      <x:c r="C3" s="8"/>
      <x:c r="D3" s="8" t="str">
        <x:v>YA</x:v>
      </x:c>
    </x:row>
    <x:row r="4" ht="17.08984375" hidden="0" customHeight="1">
      <x:c r="A4" s="8" t="str">
        <x:v>SUP-003</x:v>
      </x:c>
      <x:c r="B4" s="8" t="str">
        <x:v>KLEPON</x:v>
      </x:c>
      <x:c r="C4" s="8"/>
      <x:c r="D4" s="8" t="str">
        <x:v>YA</x:v>
      </x:c>
    </x:row>
    <x:row r="5" ht="17.08984375" hidden="0" customHeight="1">
      <x:c r="A5" s="8" t="str">
        <x:v>SUP-004</x:v>
      </x:c>
      <x:c r="B5" s="8" t="str">
        <x:v>NENNY LOUISE FOOD</x:v>
      </x:c>
      <x:c r="C5" s="8"/>
      <x:c r="D5" s="8" t="str">
        <x:v>YA</x:v>
      </x:c>
    </x:row>
    <x:row r="6" ht="17.08984375" hidden="0" customHeight="1">
      <x:c r="A6" s="8" t="str">
        <x:v>SUP-005</x:v>
      </x:c>
      <x:c r="B6" s="8" t="str">
        <x:v>BOLEN NONA LUMES</x:v>
      </x:c>
      <x:c r="C6" s="8"/>
      <x:c r="D6" s="8" t="str">
        <x:v>YA</x:v>
      </x:c>
    </x:row>
    <x:row r="7" ht="17.08984375" hidden="0" customHeight="1">
      <x:c r="A7" s="8" t="str">
        <x:v>SUP-006</x:v>
      </x:c>
      <x:c r="B7" s="8" t="str">
        <x:v>AZZA SNACK</x:v>
      </x:c>
      <x:c r="C7" s="8"/>
      <x:c r="D7" s="8" t="str">
        <x:v>YA</x:v>
      </x:c>
    </x:row>
    <x:row r="8" ht="17.08984375" hidden="0" customHeight="1">
      <x:c r="A8" s="8" t="str">
        <x:v>SUP-007</x:v>
      </x:c>
      <x:c r="B8" s="8" t="str">
        <x:v>NAMIRA SNACK</x:v>
      </x:c>
      <x:c r="C8" s="8"/>
      <x:c r="D8" s="8" t="str">
        <x:v>YA</x:v>
      </x:c>
    </x:row>
    <x:row r="9" ht="17.08984375" hidden="0" customHeight="1">
      <x:c r="A9" s="8" t="str">
        <x:v>SUP-008</x:v>
      </x:c>
      <x:c r="B9" s="8" t="str">
        <x:v>SIOMAY &amp; BATAGOR TIONGKOK</x:v>
      </x:c>
      <x:c r="C9" s="8"/>
      <x:c r="D9" s="8" t="str">
        <x:v>YA</x:v>
      </x:c>
    </x:row>
    <x:row r="10" ht="17.08984375" hidden="0" customHeight="1">
      <x:c r="A10" s="8" t="str">
        <x:v>SUP-009</x:v>
      </x:c>
      <x:c r="B10" s="8" t="str">
        <x:v>ANIS BASRENG</x:v>
      </x:c>
      <x:c r="C10" s="8"/>
      <x:c r="D10" s="8" t="str">
        <x:v>YA</x:v>
      </x:c>
    </x:row>
    <x:row r="11" ht="17.08984375" hidden="0" customHeight="1">
      <x:c r="A11" s="8" t="str">
        <x:v>SUP-010</x:v>
      </x:c>
      <x:c r="B11" s="8" t="str">
        <x:v>RAZZAIA SNACK</x:v>
      </x:c>
      <x:c r="C11" s="8"/>
      <x:c r="D11" s="8" t="str">
        <x:v>YA</x:v>
      </x:c>
    </x:row>
    <x:row r="12" ht="17.08984375" hidden="0" customHeight="1">
      <x:c r="A12" s="8" t="str">
        <x:v>SUP-011</x:v>
      </x:c>
      <x:c r="B12" s="8" t="str">
        <x:v>SAVORA</x:v>
      </x:c>
      <x:c r="C12" s="8"/>
      <x:c r="D12" s="8" t="str">
        <x:v>YA</x:v>
      </x:c>
    </x:row>
    <x:row r="13" ht="17.08984375" hidden="0" customHeight="1">
      <x:c r="A13" s="8" t="str">
        <x:v>SUP-012</x:v>
      </x:c>
      <x:c r="B13" s="8" t="str">
        <x:v>ONE MORE CAKE</x:v>
      </x:c>
      <x:c r="C13" s="8"/>
      <x:c r="D13" s="8" t="str">
        <x:v>YA</x:v>
      </x:c>
    </x:row>
    <x:row r="14" ht="17.08984375" hidden="0" customHeight="1">
      <x:c r="A14" s="8" t="str">
        <x:v>SUP-013</x:v>
      </x:c>
      <x:c r="B14" s="8" t="str">
        <x:v>ROTI KOPI OKE</x:v>
      </x:c>
      <x:c r="C14" s="8"/>
      <x:c r="D14" s="8" t="str">
        <x:v>YA</x:v>
      </x:c>
    </x:row>
    <x:row r="15" ht="17.08984375" hidden="0" customHeight="1">
      <x:c r="A15" s="8" t="str">
        <x:v>SUP-014</x:v>
      </x:c>
      <x:c r="B15" s="8" t="str">
        <x:v>VINA RICE BOWL</x:v>
      </x:c>
      <x:c r="C15" s="8"/>
      <x:c r="D15" s="8" t="str">
        <x:v>YA</x:v>
      </x:c>
    </x:row>
    <x:row r="16" ht="17.08984375" hidden="0" customHeight="1">
      <x:c r="A16" s="8" t="str">
        <x:v>SUP-015</x:v>
      </x:c>
      <x:c r="B16" s="8" t="str">
        <x:v>LILYMIU KITCHEN</x:v>
      </x:c>
      <x:c r="C16" s="8"/>
      <x:c r="D16" s="8" t="str">
        <x:v>YA</x:v>
      </x:c>
    </x:row>
    <x:row r="17" ht="17.08984375" hidden="0" customHeight="1">
      <x:c r="A17" s="8" t="str">
        <x:v>SUP-016</x:v>
      </x:c>
      <x:c r="B17" s="8" t="str">
        <x:v>RUMAH COOKIES SARASWATI</x:v>
      </x:c>
      <x:c r="C17" s="8"/>
      <x:c r="D17" s="8" t="str">
        <x:v>YA</x:v>
      </x:c>
    </x:row>
    <x:row r="18" ht="17.08984375" hidden="0" customHeight="1">
      <x:c r="A18" s="8" t="str">
        <x:v>SUP-017</x:v>
      </x:c>
      <x:c r="B18" s="8" t="str">
        <x:v>DIMSUM KLAWING</x:v>
      </x:c>
      <x:c r="C18" s="8"/>
      <x:c r="D18" s="8" t="str">
        <x:v>YA</x:v>
      </x:c>
    </x:row>
    <x:row r="19" ht="17.08984375" hidden="0" customHeight="1">
      <x:c r="A19" s="8" t="str">
        <x:v>SUP-018</x:v>
      </x:c>
      <x:c r="B19" s="8" t="str">
        <x:v>FOODIES TIME AGUSTINI</x:v>
      </x:c>
      <x:c r="C19" s="8"/>
      <x:c r="D19" s="8" t="str">
        <x:v>YA</x:v>
      </x:c>
    </x:row>
    <x:row r="20" ht="17.08984375" hidden="0" customHeight="1">
      <x:c r="A20" s="8" t="str">
        <x:v>SUP-019</x:v>
      </x:c>
      <x:c r="B20" s="8" t="str">
        <x:v>PISCOK MBLEBER</x:v>
      </x:c>
      <x:c r="C20" s="8"/>
      <x:c r="D20" s="8" t="str">
        <x:v>YA</x:v>
      </x:c>
    </x:row>
    <x:row r="21" ht="17.08984375" hidden="0" customHeight="1">
      <x:c r="A21" s="8" t="str">
        <x:v>SUP-020</x:v>
      </x:c>
      <x:c r="B21" s="8" t="str">
        <x:v>CAMILANKU</x:v>
      </x:c>
      <x:c r="C21" s="8"/>
      <x:c r="D21" s="8" t="str">
        <x:v>YA</x:v>
      </x:c>
    </x:row>
    <x:row r="22" ht="17.08984375" hidden="0" customHeight="1">
      <x:c r="A22" s="8" t="str">
        <x:v>SUP-021</x:v>
      </x:c>
      <x:c r="B22" s="8" t="str">
        <x:v>REMAH LEMBUT</x:v>
      </x:c>
      <x:c r="C22" s="8"/>
      <x:c r="D22" s="8" t="str">
        <x:v>YA</x:v>
      </x:c>
    </x:row>
    <x:row r="23" ht="17.08984375" hidden="0" customHeight="1">
      <x:c r="A23" s="8" t="str">
        <x:v>SUP-022</x:v>
      </x:c>
      <x:c r="B23" s="8" t="str">
        <x:v>LARIZYA BAKES</x:v>
      </x:c>
      <x:c r="C23" s="8"/>
      <x:c r="D23" s="8" t="str">
        <x:v>YA</x:v>
      </x:c>
    </x:row>
    <x:row r="24" ht="17.08984375" hidden="0" customHeight="1">
      <x:c r="A24" s="8" t="str">
        <x:v>SUP-023</x:v>
      </x:c>
      <x:c r="B24" s="8" t="str">
        <x:v>SAHLA CHEESECAKE</x:v>
      </x:c>
      <x:c r="C24" s="8"/>
      <x:c r="D24" s="8" t="str">
        <x:v>YA</x:v>
      </x:c>
    </x:row>
    <x:row r="25" ht="17.08984375" hidden="0" customHeight="1">
      <x:c r="A25" s="8" t="str">
        <x:v>SUP-024</x:v>
      </x:c>
      <x:c r="B25" s="8" t="str">
        <x:v>COOKIES TIWAY</x:v>
      </x:c>
      <x:c r="C25" s="8"/>
      <x:c r="D25" s="8" t="str">
        <x:v>YA</x:v>
      </x:c>
    </x:row>
    <x:row r="26" ht="17.08984375" hidden="0" customHeight="1">
      <x:c r="A26" s="8" t="str">
        <x:v>SUP-025</x:v>
      </x:c>
      <x:c r="B26" s="8" t="str">
        <x:v>KOES BAKERY</x:v>
      </x:c>
      <x:c r="C26" s="8"/>
      <x:c r="D26" s="8" t="str">
        <x:v>YA</x:v>
      </x:c>
    </x:row>
    <x:row r="27" ht="17.08984375" hidden="0" customHeight="1">
      <x:c r="A27" s="8" t="str">
        <x:v>SUP-026</x:v>
      </x:c>
      <x:c r="B27" s="8" t="str">
        <x:v>KERING KENTANG MUSTOFA</x:v>
      </x:c>
      <x:c r="C27" s="8"/>
      <x:c r="D27" s="8" t="str">
        <x:v>YA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.430000305175781" hidden="0" customWidth="1"/>
    <x:col min="3" max="3" width="34" hidden="0" customWidth="1"/>
    <x:col min="4" max="4" width="34.709999084472656" hidden="0" customWidth="1"/>
    <x:col min="5" max="5" width="5" hidden="0" customWidth="1"/>
  </x:cols>
  <x:sheetData>
    <x:row r="1" ht="17.08984375" hidden="0" customHeight="1">
      <x:c r="A1" s="7" t="str">
        <x:v>Product_ID</x:v>
      </x:c>
      <x:c r="B1" s="7" t="str">
        <x:v>Supplier_ID</x:v>
      </x:c>
      <x:c r="C1" s="7" t="str">
        <x:v>Nama_Supplier</x:v>
      </x:c>
      <x:c r="D1" s="7" t="str">
        <x:v>Nama_Produk</x:v>
      </x:c>
      <x:c r="E1" s="7" t="str">
        <x:v>Aktif</x:v>
      </x:c>
    </x:row>
    <x:row r="2" ht="17.08984375" hidden="0" customHeight="1">
      <x:c r="A2" s="8" t="str">
        <x:v>PRD-001</x:v>
      </x:c>
      <x:c r="B2" s="8" t="str">
        <x:v>SUP-001</x:v>
      </x:c>
      <x:c r="C2" s="8" t="str">
        <x:v>LE BANANA CRIPIK</x:v>
      </x:c>
      <x:c r="D2" s="8" t="str">
        <x:v>KRIPIK PISANG LUMER</x:v>
      </x:c>
      <x:c r="E2" s="8" t="str">
        <x:v>YA</x:v>
      </x:c>
    </x:row>
    <x:row r="3" ht="17.08984375" hidden="0" customHeight="1">
      <x:c r="A3" s="8" t="str">
        <x:v>PRD-002</x:v>
      </x:c>
      <x:c r="B3" s="8" t="str">
        <x:v>SUP-002</x:v>
      </x:c>
      <x:c r="C3" s="8" t="str">
        <x:v>PUKIS SURABAYA</x:v>
      </x:c>
      <x:c r="D3" s="8" t="str">
        <x:v>PUKIS ORI</x:v>
      </x:c>
      <x:c r="E3" s="8" t="str">
        <x:v>YA</x:v>
      </x:c>
    </x:row>
    <x:row r="4" ht="17.08984375" hidden="0" customHeight="1">
      <x:c r="A4" s="8" t="str">
        <x:v>PRD-003</x:v>
      </x:c>
      <x:c r="B4" s="8" t="str">
        <x:v>SUP-002</x:v>
      </x:c>
      <x:c r="C4" s="8" t="str">
        <x:v>PUKIS SURABAYA</x:v>
      </x:c>
      <x:c r="D4" s="8" t="str">
        <x:v>PUKIS ISIAN</x:v>
      </x:c>
      <x:c r="E4" s="8" t="str">
        <x:v>YA</x:v>
      </x:c>
    </x:row>
    <x:row r="5" ht="17.08984375" hidden="0" customHeight="1">
      <x:c r="A5" s="8" t="str">
        <x:v>PRD-004</x:v>
      </x:c>
      <x:c r="B5" s="8" t="str">
        <x:v>SUP-003</x:v>
      </x:c>
      <x:c r="C5" s="8" t="str">
        <x:v>KLEPON</x:v>
      </x:c>
      <x:c r="D5" s="8" t="str">
        <x:v>KLEPON</x:v>
      </x:c>
      <x:c r="E5" s="8" t="str">
        <x:v>YA</x:v>
      </x:c>
    </x:row>
    <x:row r="6" ht="17.08984375" hidden="0" customHeight="1">
      <x:c r="A6" s="8" t="str">
        <x:v>PRD-005</x:v>
      </x:c>
      <x:c r="B6" s="8" t="str">
        <x:v>SUP-004</x:v>
      </x:c>
      <x:c r="C6" s="8" t="str">
        <x:v>NENNY LOUISE FOOD</x:v>
      </x:c>
      <x:c r="D6" s="8" t="str">
        <x:v>KIMBAB AYAM</x:v>
      </x:c>
      <x:c r="E6" s="8" t="str">
        <x:v>YA</x:v>
      </x:c>
    </x:row>
    <x:row r="7" ht="17.08984375" hidden="0" customHeight="1">
      <x:c r="A7" s="8" t="str">
        <x:v>PRD-006</x:v>
      </x:c>
      <x:c r="B7" s="8" t="str">
        <x:v>SUP-004</x:v>
      </x:c>
      <x:c r="C7" s="8" t="str">
        <x:v>NENNY LOUISE FOOD</x:v>
      </x:c>
      <x:c r="D7" s="8" t="str">
        <x:v>ONIGIRI</x:v>
      </x:c>
      <x:c r="E7" s="8" t="str">
        <x:v>YA</x:v>
      </x:c>
    </x:row>
    <x:row r="8" ht="17.08984375" hidden="0" customHeight="1">
      <x:c r="A8" s="8" t="str">
        <x:v>PRD-007</x:v>
      </x:c>
      <x:c r="B8" s="8" t="str">
        <x:v>SUP-005</x:v>
      </x:c>
      <x:c r="C8" s="8" t="str">
        <x:v>BOLEN NONA LUMES</x:v>
      </x:c>
      <x:c r="D8" s="8" t="str">
        <x:v>BOLEN LUMER</x:v>
      </x:c>
      <x:c r="E8" s="8" t="str">
        <x:v>YA</x:v>
      </x:c>
    </x:row>
    <x:row r="9" ht="17.08984375" hidden="0" customHeight="1">
      <x:c r="A9" s="8" t="str">
        <x:v>PRD-008</x:v>
      </x:c>
      <x:c r="B9" s="8" t="str">
        <x:v>SUP-006</x:v>
      </x:c>
      <x:c r="C9" s="8" t="str">
        <x:v>AZZA SNACK</x:v>
      </x:c>
      <x:c r="D9" s="8" t="str">
        <x:v>KRIPIK PISANG ASIN</x:v>
      </x:c>
      <x:c r="E9" s="8" t="str">
        <x:v>YA</x:v>
      </x:c>
    </x:row>
    <x:row r="10" ht="17.08984375" hidden="0" customHeight="1">
      <x:c r="A10" s="8" t="str">
        <x:v>PRD-009</x:v>
      </x:c>
      <x:c r="B10" s="8" t="str">
        <x:v>SUP-006</x:v>
      </x:c>
      <x:c r="C10" s="8" t="str">
        <x:v>AZZA SNACK</x:v>
      </x:c>
      <x:c r="D10" s="8" t="str">
        <x:v>KRIPIK PISANG COKLAT</x:v>
      </x:c>
      <x:c r="E10" s="8" t="str">
        <x:v>YA</x:v>
      </x:c>
    </x:row>
    <x:row r="11" ht="17.08984375" hidden="0" customHeight="1">
      <x:c r="A11" s="8" t="str">
        <x:v>PRD-010</x:v>
      </x:c>
      <x:c r="B11" s="8" t="str">
        <x:v>SUP-007</x:v>
      </x:c>
      <x:c r="C11" s="8" t="str">
        <x:v>NAMIRA SNACK</x:v>
      </x:c>
      <x:c r="D11" s="8" t="str">
        <x:v>BOLU GULUNG</x:v>
      </x:c>
      <x:c r="E11" s="8" t="str">
        <x:v>YA</x:v>
      </x:c>
    </x:row>
    <x:row r="12" ht="17.08984375" hidden="0" customHeight="1">
      <x:c r="A12" s="8" t="str">
        <x:v>PRD-011</x:v>
      </x:c>
      <x:c r="B12" s="8" t="str">
        <x:v>SUP-007</x:v>
      </x:c>
      <x:c r="C12" s="8" t="str">
        <x:v>NAMIRA SNACK</x:v>
      </x:c>
      <x:c r="D12" s="8" t="str">
        <x:v>PASTEL TUTUP</x:v>
      </x:c>
      <x:c r="E12" s="8" t="str">
        <x:v>YA</x:v>
      </x:c>
    </x:row>
    <x:row r="13" ht="17.08984375" hidden="0" customHeight="1">
      <x:c r="A13" s="8" t="str">
        <x:v>PRD-012</x:v>
      </x:c>
      <x:c r="B13" s="8" t="str">
        <x:v>SUP-008</x:v>
      </x:c>
      <x:c r="C13" s="8" t="str">
        <x:v>SIOMAY &amp; BATAGOR TIONGKOK</x:v>
      </x:c>
      <x:c r="D13" s="8" t="str">
        <x:v>SIOMAY</x:v>
      </x:c>
      <x:c r="E13" s="8" t="str">
        <x:v>YA</x:v>
      </x:c>
    </x:row>
    <x:row r="14" ht="17.08984375" hidden="0" customHeight="1">
      <x:c r="A14" s="8" t="str">
        <x:v>PRD-013</x:v>
      </x:c>
      <x:c r="B14" s="8" t="str">
        <x:v>SUP-008</x:v>
      </x:c>
      <x:c r="C14" s="8" t="str">
        <x:v>SIOMAY &amp; BATAGOR TIONGKOK</x:v>
      </x:c>
      <x:c r="D14" s="8" t="str">
        <x:v>BATAGOR</x:v>
      </x:c>
      <x:c r="E14" s="8" t="str">
        <x:v>YA</x:v>
      </x:c>
    </x:row>
    <x:row r="15" ht="17.08984375" hidden="0" customHeight="1">
      <x:c r="A15" s="8" t="str">
        <x:v>PRD-014</x:v>
      </x:c>
      <x:c r="B15" s="8" t="str">
        <x:v>SUP-009</x:v>
      </x:c>
      <x:c r="C15" s="8" t="str">
        <x:v>ANIS BASRENG</x:v>
      </x:c>
      <x:c r="D15" s="8" t="str">
        <x:v>BASRENG ARION</x:v>
      </x:c>
      <x:c r="E15" s="8" t="str">
        <x:v>YA</x:v>
      </x:c>
    </x:row>
    <x:row r="16" ht="17.08984375" hidden="0" customHeight="1">
      <x:c r="A16" s="8" t="str">
        <x:v>PRD-015</x:v>
      </x:c>
      <x:c r="B16" s="8" t="str">
        <x:v>SUP-010</x:v>
      </x:c>
      <x:c r="C16" s="8" t="str">
        <x:v>RAZZAIA SNACK</x:v>
      </x:c>
      <x:c r="D16" s="8" t="str">
        <x:v>MARTABAK TELOR</x:v>
      </x:c>
      <x:c r="E16" s="8" t="str">
        <x:v>YA</x:v>
      </x:c>
    </x:row>
    <x:row r="17" ht="17.08984375" hidden="0" customHeight="1">
      <x:c r="A17" s="8" t="str">
        <x:v>PRD-016</x:v>
      </x:c>
      <x:c r="B17" s="8" t="str">
        <x:v>SUP-011</x:v>
      </x:c>
      <x:c r="C17" s="8" t="str">
        <x:v>SAVORA</x:v>
      </x:c>
      <x:c r="D17" s="8" t="str">
        <x:v>SOSIS BAKAR + SAOS</x:v>
      </x:c>
      <x:c r="E17" s="8" t="str">
        <x:v>YA</x:v>
      </x:c>
    </x:row>
    <x:row r="18" ht="17.08984375" hidden="0" customHeight="1">
      <x:c r="A18" s="8" t="str">
        <x:v>PRD-017</x:v>
      </x:c>
      <x:c r="B18" s="8" t="str">
        <x:v>SUP-012</x:v>
      </x:c>
      <x:c r="C18" s="8" t="str">
        <x:v>ONE MORE CAKE</x:v>
      </x:c>
      <x:c r="D18" s="8" t="str">
        <x:v>BURNT CHEESECAKE</x:v>
      </x:c>
      <x:c r="E18" s="8" t="str">
        <x:v>YA</x:v>
      </x:c>
    </x:row>
    <x:row r="19" ht="17.08984375" hidden="0" customHeight="1">
      <x:c r="A19" s="8" t="str">
        <x:v>PRD-018</x:v>
      </x:c>
      <x:c r="B19" s="8" t="str">
        <x:v>SUP-012</x:v>
      </x:c>
      <x:c r="C19" s="8" t="str">
        <x:v>ONE MORE CAKE</x:v>
      </x:c>
      <x:c r="D19" s="8" t="str">
        <x:v>ICE BERG CHEESECAKE</x:v>
      </x:c>
      <x:c r="E19" s="8" t="str">
        <x:v>YA</x:v>
      </x:c>
    </x:row>
    <x:row r="20" ht="17.08984375" hidden="0" customHeight="1">
      <x:c r="A20" s="8" t="str">
        <x:v>PRD-019</x:v>
      </x:c>
      <x:c r="B20" s="8" t="str">
        <x:v>SUP-013</x:v>
      </x:c>
      <x:c r="C20" s="8" t="str">
        <x:v>ROTI KOPI OKE</x:v>
      </x:c>
      <x:c r="D20" s="8" t="str">
        <x:v>ROTI KOPI COKELAT</x:v>
      </x:c>
      <x:c r="E20" s="8" t="str">
        <x:v>YA</x:v>
      </x:c>
    </x:row>
    <x:row r="21" ht="17.08984375" hidden="0" customHeight="1">
      <x:c r="A21" s="8" t="str">
        <x:v>PRD-020</x:v>
      </x:c>
      <x:c r="B21" s="8" t="str">
        <x:v>SUP-013</x:v>
      </x:c>
      <x:c r="C21" s="8" t="str">
        <x:v>ROTI KOPI OKE</x:v>
      </x:c>
      <x:c r="D21" s="8" t="str">
        <x:v>FLOSS ROLL</x:v>
      </x:c>
      <x:c r="E21" s="8" t="str">
        <x:v>YA</x:v>
      </x:c>
    </x:row>
    <x:row r="22" ht="17.08984375" hidden="0" customHeight="1">
      <x:c r="A22" s="8" t="str">
        <x:v>PRD-021</x:v>
      </x:c>
      <x:c r="B22" s="8" t="str">
        <x:v>SUP-013</x:v>
      </x:c>
      <x:c r="C22" s="8" t="str">
        <x:v>ROTI KOPI OKE</x:v>
      </x:c>
      <x:c r="D22" s="8" t="str">
        <x:v>ROTI SOSIS</x:v>
      </x:c>
      <x:c r="E22" s="8" t="str">
        <x:v>YA</x:v>
      </x:c>
    </x:row>
    <x:row r="23" ht="17.08984375" hidden="0" customHeight="1">
      <x:c r="A23" s="8" t="str">
        <x:v>PRD-022</x:v>
      </x:c>
      <x:c r="B23" s="8" t="str">
        <x:v>SUP-013</x:v>
      </x:c>
      <x:c r="C23" s="8" t="str">
        <x:v>ROTI KOPI OKE</x:v>
      </x:c>
      <x:c r="D23" s="8" t="str">
        <x:v>ROTI KOPI ORIGINAL</x:v>
      </x:c>
      <x:c r="E23" s="8" t="str">
        <x:v>YA</x:v>
      </x:c>
    </x:row>
    <x:row r="24" ht="17.08984375" hidden="0" customHeight="1">
      <x:c r="A24" s="8" t="str">
        <x:v>PRD-023</x:v>
      </x:c>
      <x:c r="B24" s="8" t="str">
        <x:v>SUP-013</x:v>
      </x:c>
      <x:c r="C24" s="8" t="str">
        <x:v>ROTI KOPI OKE</x:v>
      </x:c>
      <x:c r="D24" s="8" t="str">
        <x:v>ROTI KOPI KEJU</x:v>
      </x:c>
      <x:c r="E24" s="8" t="str">
        <x:v>YA</x:v>
      </x:c>
    </x:row>
    <x:row r="25" ht="17.08984375" hidden="0" customHeight="1">
      <x:c r="A25" s="8" t="str">
        <x:v>PRD-024</x:v>
      </x:c>
      <x:c r="B25" s="8" t="str">
        <x:v>SUP-014</x:v>
      </x:c>
      <x:c r="C25" s="8" t="str">
        <x:v>VINA RICE BOWL</x:v>
      </x:c>
      <x:c r="D25" s="8" t="str">
        <x:v>RICEBOWL AYAM SUWIR</x:v>
      </x:c>
      <x:c r="E25" s="8" t="str">
        <x:v>YA</x:v>
      </x:c>
    </x:row>
    <x:row r="26" ht="17.08984375" hidden="0" customHeight="1">
      <x:c r="A26" s="8" t="str">
        <x:v>PRD-025</x:v>
      </x:c>
      <x:c r="B26" s="8" t="str">
        <x:v>SUP-014</x:v>
      </x:c>
      <x:c r="C26" s="8" t="str">
        <x:v>VINA RICE BOWL</x:v>
      </x:c>
      <x:c r="D26" s="8" t="str">
        <x:v>RICEBOWL BALADO ATI AMPELA</x:v>
      </x:c>
      <x:c r="E26" s="8" t="str">
        <x:v>YA</x:v>
      </x:c>
    </x:row>
    <x:row r="27" ht="17.08984375" hidden="0" customHeight="1">
      <x:c r="A27" s="8" t="str">
        <x:v>PRD-026</x:v>
      </x:c>
      <x:c r="B27" s="8" t="str">
        <x:v>SUP-014</x:v>
      </x:c>
      <x:c r="C27" s="8" t="str">
        <x:v>VINA RICE BOWL</x:v>
      </x:c>
      <x:c r="D27" s="8" t="str">
        <x:v>RICEBOWL TONGKOL SUWIR</x:v>
      </x:c>
      <x:c r="E27" s="8" t="str">
        <x:v>YA</x:v>
      </x:c>
    </x:row>
    <x:row r="28" ht="17.08984375" hidden="0" customHeight="1">
      <x:c r="A28" s="8" t="str">
        <x:v>PRD-027</x:v>
      </x:c>
      <x:c r="B28" s="8" t="str">
        <x:v>SUP-015</x:v>
      </x:c>
      <x:c r="C28" s="8" t="str">
        <x:v>LILYMIU KITCHEN</x:v>
      </x:c>
      <x:c r="D28" s="8" t="str">
        <x:v>BROWNIES ORIGINAL</x:v>
      </x:c>
      <x:c r="E28" s="8" t="str">
        <x:v>YA</x:v>
      </x:c>
    </x:row>
    <x:row r="29" ht="17.08984375" hidden="0" customHeight="1">
      <x:c r="A29" s="8" t="str">
        <x:v>PRD-028</x:v>
      </x:c>
      <x:c r="B29" s="8" t="str">
        <x:v>SUP-015</x:v>
      </x:c>
      <x:c r="C29" s="8" t="str">
        <x:v>LILYMIU KITCHEN</x:v>
      </x:c>
      <x:c r="D29" s="8" t="str">
        <x:v>BROWNIES CHOCOCHIP</x:v>
      </x:c>
      <x:c r="E29" s="8" t="str">
        <x:v>YA</x:v>
      </x:c>
    </x:row>
    <x:row r="30" ht="17.08984375" hidden="0" customHeight="1">
      <x:c r="A30" s="8" t="str">
        <x:v>PRD-029</x:v>
      </x:c>
      <x:c r="B30" s="8" t="str">
        <x:v>SUP-015</x:v>
      </x:c>
      <x:c r="C30" s="8" t="str">
        <x:v>LILYMIU KITCHEN</x:v>
      </x:c>
      <x:c r="D30" s="8" t="str">
        <x:v>BROWNIES CHEESE</x:v>
      </x:c>
      <x:c r="E30" s="8" t="str">
        <x:v>YA</x:v>
      </x:c>
    </x:row>
    <x:row r="31" ht="17.08984375" hidden="0" customHeight="1">
      <x:c r="A31" s="8" t="str">
        <x:v>PRD-030</x:v>
      </x:c>
      <x:c r="B31" s="8" t="str">
        <x:v>SUP-015</x:v>
      </x:c>
      <x:c r="C31" s="8" t="str">
        <x:v>LILYMIU KITCHEN</x:v>
      </x:c>
      <x:c r="D31" s="8" t="str">
        <x:v>BROWNIES OREO</x:v>
      </x:c>
      <x:c r="E31" s="8" t="str">
        <x:v>YA</x:v>
      </x:c>
    </x:row>
    <x:row r="32" ht="17.08984375" hidden="0" customHeight="1">
      <x:c r="A32" s="8" t="str">
        <x:v>PRD-031</x:v>
      </x:c>
      <x:c r="B32" s="8" t="str">
        <x:v>SUP-015</x:v>
      </x:c>
      <x:c r="C32" s="8" t="str">
        <x:v>LILYMIU KITCHEN</x:v>
      </x:c>
      <x:c r="D32" s="8" t="str">
        <x:v>BROWNIES ALMOND</x:v>
      </x:c>
      <x:c r="E32" s="8" t="str">
        <x:v>YA</x:v>
      </x:c>
    </x:row>
    <x:row r="33" ht="17.08984375" hidden="0" customHeight="1">
      <x:c r="A33" s="8" t="str">
        <x:v>PRD-032</x:v>
      </x:c>
      <x:c r="B33" s="8" t="str">
        <x:v>SUP-015</x:v>
      </x:c>
      <x:c r="C33" s="8" t="str">
        <x:v>LILYMIU KITCHEN</x:v>
      </x:c>
      <x:c r="D33" s="8" t="str">
        <x:v>BROWNIES CHOCOCHEESE</x:v>
      </x:c>
      <x:c r="E33" s="8" t="str">
        <x:v>YA</x:v>
      </x:c>
    </x:row>
    <x:row r="34" ht="17.08984375" hidden="0" customHeight="1">
      <x:c r="A34" s="8" t="str">
        <x:v>PRD-033</x:v>
      </x:c>
      <x:c r="B34" s="8" t="str">
        <x:v>SUP-015</x:v>
      </x:c>
      <x:c r="C34" s="8" t="str">
        <x:v>LILYMIU KITCHEN</x:v>
      </x:c>
      <x:c r="D34" s="8" t="str">
        <x:v>BROWNIES CHOCOALMOND</x:v>
      </x:c>
      <x:c r="E34" s="8" t="str">
        <x:v>YA</x:v>
      </x:c>
    </x:row>
    <x:row r="35" ht="17.08984375" hidden="0" customHeight="1">
      <x:c r="A35" s="8" t="str">
        <x:v>PRD-034</x:v>
      </x:c>
      <x:c r="B35" s="8" t="str">
        <x:v>SUP-016</x:v>
      </x:c>
      <x:c r="C35" s="8" t="str">
        <x:v>RUMAH COOKIES SARASWATI</x:v>
      </x:c>
      <x:c r="D35" s="8" t="str">
        <x:v>PIE BROWNIES</x:v>
      </x:c>
      <x:c r="E35" s="8" t="str">
        <x:v>YA</x:v>
      </x:c>
    </x:row>
    <x:row r="36" ht="17.08984375" hidden="0" customHeight="1">
      <x:c r="A36" s="8" t="str">
        <x:v>PRD-035</x:v>
      </x:c>
      <x:c r="B36" s="8" t="str">
        <x:v>SUP-016</x:v>
      </x:c>
      <x:c r="C36" s="8" t="str">
        <x:v>RUMAH COOKIES SARASWATI</x:v>
      </x:c>
      <x:c r="D36" s="8" t="str">
        <x:v>KUE KERING 250GR</x:v>
      </x:c>
      <x:c r="E36" s="8" t="str">
        <x:v>YA</x:v>
      </x:c>
    </x:row>
    <x:row r="37" ht="17.08984375" hidden="0" customHeight="1">
      <x:c r="A37" s="8" t="str">
        <x:v>PRD-036</x:v>
      </x:c>
      <x:c r="B37" s="8" t="str">
        <x:v>SUP-017</x:v>
      </x:c>
      <x:c r="C37" s="8" t="str">
        <x:v>DIMSUM KLAWING</x:v>
      </x:c>
      <x:c r="D37" s="8" t="str">
        <x:v>DIMSUM ORIGINAL</x:v>
      </x:c>
      <x:c r="E37" s="8" t="str">
        <x:v>YA</x:v>
      </x:c>
    </x:row>
    <x:row r="38" ht="17.08984375" hidden="0" customHeight="1">
      <x:c r="A38" s="8" t="str">
        <x:v>PRD-037</x:v>
      </x:c>
      <x:c r="B38" s="8" t="str">
        <x:v>SUP-017</x:v>
      </x:c>
      <x:c r="C38" s="8" t="str">
        <x:v>DIMSUM KLAWING</x:v>
      </x:c>
      <x:c r="D38" s="8" t="str">
        <x:v>DIMSUM MENTAI</x:v>
      </x:c>
      <x:c r="E38" s="8" t="str">
        <x:v>YA</x:v>
      </x:c>
    </x:row>
    <x:row r="39" ht="17.08984375" hidden="0" customHeight="1">
      <x:c r="A39" s="8" t="str">
        <x:v>PRD-038</x:v>
      </x:c>
      <x:c r="B39" s="8" t="str">
        <x:v>SUP-017</x:v>
      </x:c>
      <x:c r="C39" s="8" t="str">
        <x:v>DIMSUM KLAWING</x:v>
      </x:c>
      <x:c r="D39" s="8" t="str">
        <x:v>DIMSUM TARTAR</x:v>
      </x:c>
      <x:c r="E39" s="8" t="str">
        <x:v>YA</x:v>
      </x:c>
    </x:row>
    <x:row r="40" ht="17.08984375" hidden="0" customHeight="1">
      <x:c r="A40" s="8" t="str">
        <x:v>PRD-039</x:v>
      </x:c>
      <x:c r="B40" s="8" t="str">
        <x:v>SUP-018</x:v>
      </x:c>
      <x:c r="C40" s="8" t="str">
        <x:v>FOODIES TIME AGUSTINI</x:v>
      </x:c>
      <x:c r="D40" s="8" t="str">
        <x:v>CARAMEL CHEESECAKE</x:v>
      </x:c>
      <x:c r="E40" s="8" t="str">
        <x:v>YA</x:v>
      </x:c>
    </x:row>
    <x:row r="41" ht="17.08984375" hidden="0" customHeight="1">
      <x:c r="A41" s="8" t="str">
        <x:v>PRD-040</x:v>
      </x:c>
      <x:c r="B41" s="8" t="str">
        <x:v>SUP-018</x:v>
      </x:c>
      <x:c r="C41" s="8" t="str">
        <x:v>FOODIES TIME AGUSTINI</x:v>
      </x:c>
      <x:c r="D41" s="8" t="str">
        <x:v>SOFT COOKIES</x:v>
      </x:c>
      <x:c r="E41" s="8" t="str">
        <x:v>YA</x:v>
      </x:c>
    </x:row>
    <x:row r="42" ht="17.08984375" hidden="0" customHeight="1">
      <x:c r="A42" s="8" t="str">
        <x:v>PRD-041</x:v>
      </x:c>
      <x:c r="B42" s="8" t="str">
        <x:v>SUP-019</x:v>
      </x:c>
      <x:c r="C42" s="8" t="str">
        <x:v>PISCOK MBLEBER</x:v>
      </x:c>
      <x:c r="D42" s="8" t="str">
        <x:v>PISANG COKELAT</x:v>
      </x:c>
      <x:c r="E42" s="8" t="str">
        <x:v>YA</x:v>
      </x:c>
    </x:row>
    <x:row r="43" ht="17.08984375" hidden="0" customHeight="1">
      <x:c r="A43" s="8" t="str">
        <x:v>PRD-042</x:v>
      </x:c>
      <x:c r="B43" s="8" t="str">
        <x:v>SUP-020</x:v>
      </x:c>
      <x:c r="C43" s="8" t="str">
        <x:v>CAMILANKU</x:v>
      </x:c>
      <x:c r="D43" s="8" t="str">
        <x:v>BASRENG DAUN JERUK</x:v>
      </x:c>
      <x:c r="E43" s="8" t="str">
        <x:v>YA</x:v>
      </x:c>
    </x:row>
    <x:row r="44" ht="17.08984375" hidden="0" customHeight="1">
      <x:c r="A44" s="8" t="str">
        <x:v>PRD-043</x:v>
      </x:c>
      <x:c r="B44" s="8" t="str">
        <x:v>SUP-021</x:v>
      </x:c>
      <x:c r="C44" s="8" t="str">
        <x:v>REMAH LEMBUT</x:v>
      </x:c>
      <x:c r="D44" s="8" t="str">
        <x:v>ROTI SISIR</x:v>
      </x:c>
      <x:c r="E44" s="8" t="str">
        <x:v>YA</x:v>
      </x:c>
    </x:row>
    <x:row r="45" ht="17.08984375" hidden="0" customHeight="1">
      <x:c r="A45" s="8" t="str">
        <x:v>PRD-044</x:v>
      </x:c>
      <x:c r="B45" s="8" t="str">
        <x:v>SUP-022</x:v>
      </x:c>
      <x:c r="C45" s="8" t="str">
        <x:v>LARIZYA BAKES</x:v>
      </x:c>
      <x:c r="D45" s="8" t="str">
        <x:v>BURNT CHEESECAKE</x:v>
      </x:c>
      <x:c r="E45" s="8" t="str">
        <x:v>YA</x:v>
      </x:c>
    </x:row>
    <x:row r="46" ht="17.08984375" hidden="0" customHeight="1">
      <x:c r="A46" s="8" t="str">
        <x:v>PRD-045</x:v>
      </x:c>
      <x:c r="B46" s="8" t="str">
        <x:v>SUP-023</x:v>
      </x:c>
      <x:c r="C46" s="8" t="str">
        <x:v>SAHLA CHEESECAKE</x:v>
      </x:c>
      <x:c r="D46" s="8" t="str">
        <x:v>CHEESECAKE OREO</x:v>
      </x:c>
      <x:c r="E46" s="8" t="str">
        <x:v>YA</x:v>
      </x:c>
    </x:row>
    <x:row r="47" ht="17.08984375" hidden="0" customHeight="1">
      <x:c r="A47" s="8" t="str">
        <x:v>PRD-046</x:v>
      </x:c>
      <x:c r="B47" s="8" t="str">
        <x:v>SUP-023</x:v>
      </x:c>
      <x:c r="C47" s="8" t="str">
        <x:v>SAHLA CHEESECAKE</x:v>
      </x:c>
      <x:c r="D47" s="8" t="str">
        <x:v>CHEESECAKE REDVELVET</x:v>
      </x:c>
      <x:c r="E47" s="8" t="str">
        <x:v>YA</x:v>
      </x:c>
    </x:row>
    <x:row r="48" ht="17.08984375" hidden="0" customHeight="1">
      <x:c r="A48" s="8" t="str">
        <x:v>PRD-047</x:v>
      </x:c>
      <x:c r="B48" s="8" t="str">
        <x:v>SUP-023</x:v>
      </x:c>
      <x:c r="C48" s="8" t="str">
        <x:v>SAHLA CHEESECAKE</x:v>
      </x:c>
      <x:c r="D48" s="8" t="str">
        <x:v>CHEESECAKE PERMEN CHACHA</x:v>
      </x:c>
      <x:c r="E48" s="8" t="str">
        <x:v>YA</x:v>
      </x:c>
    </x:row>
    <x:row r="49" ht="17.08984375" hidden="0" customHeight="1">
      <x:c r="A49" s="8" t="str">
        <x:v>PRD-048</x:v>
      </x:c>
      <x:c r="B49" s="8" t="str">
        <x:v>SUP-023</x:v>
      </x:c>
      <x:c r="C49" s="8" t="str">
        <x:v>SAHLA CHEESECAKE</x:v>
      </x:c>
      <x:c r="D49" s="8" t="str">
        <x:v>CHEESECAKE KEJU OREO</x:v>
      </x:c>
      <x:c r="E49" s="8" t="str">
        <x:v>YA</x:v>
      </x:c>
    </x:row>
    <x:row r="50" ht="17.08984375" hidden="0" customHeight="1">
      <x:c r="A50" s="8" t="str">
        <x:v>PRD-049</x:v>
      </x:c>
      <x:c r="B50" s="8" t="str">
        <x:v>SUP-024</x:v>
      </x:c>
      <x:c r="C50" s="8" t="str">
        <x:v>COOKIES TIWAY</x:v>
      </x:c>
      <x:c r="D50" s="8" t="str">
        <x:v>COOKIES ORIGINAL</x:v>
      </x:c>
      <x:c r="E50" s="8" t="str">
        <x:v>YA</x:v>
      </x:c>
    </x:row>
    <x:row r="51" ht="17.08984375" hidden="0" customHeight="1">
      <x:c r="A51" s="8" t="str">
        <x:v>PRD-050</x:v>
      </x:c>
      <x:c r="B51" s="8" t="str">
        <x:v>SUP-024</x:v>
      </x:c>
      <x:c r="C51" s="8" t="str">
        <x:v>COOKIES TIWAY</x:v>
      </x:c>
      <x:c r="D51" s="8" t="str">
        <x:v>COOKIES MATCHA</x:v>
      </x:c>
      <x:c r="E51" s="8" t="str">
        <x:v>YA</x:v>
      </x:c>
    </x:row>
    <x:row r="52" ht="17.08984375" hidden="0" customHeight="1">
      <x:c r="A52" s="8" t="str">
        <x:v>PRD-051</x:v>
      </x:c>
      <x:c r="B52" s="8" t="str">
        <x:v>SUP-025</x:v>
      </x:c>
      <x:c r="C52" s="8" t="str">
        <x:v>KOES BAKERY</x:v>
      </x:c>
      <x:c r="D52" s="8" t="str">
        <x:v>ROTI ISI COKELAT</x:v>
      </x:c>
      <x:c r="E52" s="8" t="str">
        <x:v>YA</x:v>
      </x:c>
    </x:row>
    <x:row r="53" ht="17.08984375" hidden="0" customHeight="1">
      <x:c r="A53" s="8" t="str">
        <x:v>PRD-052</x:v>
      </x:c>
      <x:c r="B53" s="8" t="str">
        <x:v>SUP-025</x:v>
      </x:c>
      <x:c r="C53" s="8" t="str">
        <x:v>KOES BAKERY</x:v>
      </x:c>
      <x:c r="D53" s="8" t="str">
        <x:v>ROTI KELAPA</x:v>
      </x:c>
      <x:c r="E53" s="8" t="str">
        <x:v>YA</x:v>
      </x:c>
    </x:row>
    <x:row r="54" ht="17.08984375" hidden="0" customHeight="1">
      <x:c r="A54" s="8" t="str">
        <x:v>PRD-053</x:v>
      </x:c>
      <x:c r="B54" s="8" t="str">
        <x:v>SUP-025</x:v>
      </x:c>
      <x:c r="C54" s="8" t="str">
        <x:v>KOES BAKERY</x:v>
      </x:c>
      <x:c r="D54" s="8" t="str">
        <x:v>ROTI NANAS</x:v>
      </x:c>
      <x:c r="E54" s="8" t="str">
        <x:v>YA</x:v>
      </x:c>
    </x:row>
    <x:row r="55" ht="17.08984375" hidden="0" customHeight="1">
      <x:c r="A55" s="8" t="str">
        <x:v>PRD-054</x:v>
      </x:c>
      <x:c r="B55" s="8" t="str">
        <x:v>SUP-025</x:v>
      </x:c>
      <x:c r="C55" s="8" t="str">
        <x:v>KOES BAKERY</x:v>
      </x:c>
      <x:c r="D55" s="8" t="str">
        <x:v>ROTI SRIKAYA</x:v>
      </x:c>
      <x:c r="E55" s="8" t="str">
        <x:v>YA</x:v>
      </x:c>
    </x:row>
    <x:row r="56" ht="17.08984375" hidden="0" customHeight="1">
      <x:c r="A56" s="8" t="str">
        <x:v>PRD-055</x:v>
      </x:c>
      <x:c r="B56" s="8" t="str">
        <x:v>SUP-025</x:v>
      </x:c>
      <x:c r="C56" s="8" t="str">
        <x:v>KOES BAKERY</x:v>
      </x:c>
      <x:c r="D56" s="8" t="str">
        <x:v>ROTI KACANG HIJAU PANDAN</x:v>
      </x:c>
      <x:c r="E56" s="8" t="str">
        <x:v>YA</x:v>
      </x:c>
    </x:row>
    <x:row r="57" ht="17.08984375" hidden="0" customHeight="1">
      <x:c r="A57" s="8" t="str">
        <x:v>PRD-056</x:v>
      </x:c>
      <x:c r="B57" s="8" t="str">
        <x:v>SUP-025</x:v>
      </x:c>
      <x:c r="C57" s="8" t="str">
        <x:v>KOES BAKERY</x:v>
      </x:c>
      <x:c r="D57" s="8" t="str">
        <x:v>ROTI STRAWBERRY</x:v>
      </x:c>
      <x:c r="E57" s="8" t="str">
        <x:v>YA</x:v>
      </x:c>
    </x:row>
    <x:row r="58" ht="17.08984375" hidden="0" customHeight="1">
      <x:c r="A58" s="8" t="str">
        <x:v>PRD-057</x:v>
      </x:c>
      <x:c r="B58" s="8" t="str">
        <x:v>SUP-025</x:v>
      </x:c>
      <x:c r="C58" s="8" t="str">
        <x:v>KOES BAKERY</x:v>
      </x:c>
      <x:c r="D58" s="8" t="str">
        <x:v>ROTI TOPPING COKELAT</x:v>
      </x:c>
      <x:c r="E58" s="8" t="str">
        <x:v>YA</x:v>
      </x:c>
    </x:row>
    <x:row r="59" ht="17.08984375" hidden="0" customHeight="1">
      <x:c r="A59" s="8" t="str">
        <x:v>PRD-058</x:v>
      </x:c>
      <x:c r="B59" s="8" t="str">
        <x:v>SUP-025</x:v>
      </x:c>
      <x:c r="C59" s="8" t="str">
        <x:v>KOES BAKERY</x:v>
      </x:c>
      <x:c r="D59" s="8" t="str">
        <x:v>ROTI KEJU BUTTER</x:v>
      </x:c>
      <x:c r="E59" s="8" t="str">
        <x:v>YA</x:v>
      </x:c>
    </x:row>
    <x:row r="60" ht="17.08984375" hidden="0" customHeight="1">
      <x:c r="A60" s="8" t="str">
        <x:v>PRD-059</x:v>
      </x:c>
      <x:c r="B60" s="8" t="str">
        <x:v>SUP-025</x:v>
      </x:c>
      <x:c r="C60" s="8" t="str">
        <x:v>KOES BAKERY</x:v>
      </x:c>
      <x:c r="D60" s="8" t="str">
        <x:v>ROTI COKELAT MOKA</x:v>
      </x:c>
      <x:c r="E60" s="8" t="str">
        <x:v>YA</x:v>
      </x:c>
    </x:row>
    <x:row r="61" ht="17.08984375" hidden="0" customHeight="1">
      <x:c r="A61" s="8" t="str">
        <x:v>PRD-060</x:v>
      </x:c>
      <x:c r="B61" s="8" t="str">
        <x:v>SUP-025</x:v>
      </x:c>
      <x:c r="C61" s="8" t="str">
        <x:v>KOES BAKERY</x:v>
      </x:c>
      <x:c r="D61" s="8" t="str">
        <x:v>ROTI KOPI BUTTER</x:v>
      </x:c>
      <x:c r="E61" s="8" t="str">
        <x:v>YA</x:v>
      </x:c>
    </x:row>
    <x:row r="62" ht="17.08984375" hidden="0" customHeight="1">
      <x:c r="A62" s="8" t="str">
        <x:v>PRD-061</x:v>
      </x:c>
      <x:c r="B62" s="8" t="str">
        <x:v>SUP-025</x:v>
      </x:c>
      <x:c r="C62" s="8" t="str">
        <x:v>KOES BAKERY</x:v>
      </x:c>
      <x:c r="D62" s="8" t="str">
        <x:v>ROTI KEJU CHEDDAR</x:v>
      </x:c>
      <x:c r="E62" s="8" t="str">
        <x:v>YA</x:v>
      </x:c>
    </x:row>
    <x:row r="63" ht="17.08984375" hidden="0" customHeight="1">
      <x:c r="A63" s="8" t="str">
        <x:v>PRD-062</x:v>
      </x:c>
      <x:c r="B63" s="8" t="str">
        <x:v>SUP-025</x:v>
      </x:c>
      <x:c r="C63" s="8" t="str">
        <x:v>KOES BAKERY</x:v>
      </x:c>
      <x:c r="D63" s="8" t="str">
        <x:v>ROTI SUSU</x:v>
      </x:c>
      <x:c r="E63" s="8" t="str">
        <x:v>YA</x:v>
      </x:c>
    </x:row>
    <x:row r="64" ht="17.08984375" hidden="0" customHeight="1">
      <x:c r="A64" s="8" t="str">
        <x:v>PRD-063</x:v>
      </x:c>
      <x:c r="B64" s="8" t="str">
        <x:v>SUP-025</x:v>
      </x:c>
      <x:c r="C64" s="8" t="str">
        <x:v>KOES BAKERY</x:v>
      </x:c>
      <x:c r="D64" s="8" t="str">
        <x:v>ROTI PIZZA</x:v>
      </x:c>
      <x:c r="E64" s="8" t="str">
        <x:v>YA</x:v>
      </x:c>
    </x:row>
    <x:row r="65" ht="17.08984375" hidden="0" customHeight="1">
      <x:c r="A65" s="8" t="str">
        <x:v>PRD-064</x:v>
      </x:c>
      <x:c r="B65" s="8" t="str">
        <x:v>SUP-025</x:v>
      </x:c>
      <x:c r="C65" s="8" t="str">
        <x:v>KOES BAKERY</x:v>
      </x:c>
      <x:c r="D65" s="8" t="str">
        <x:v>ROTI ABON</x:v>
      </x:c>
      <x:c r="E65" s="8" t="str">
        <x:v>YA</x:v>
      </x:c>
    </x:row>
    <x:row r="66" ht="17.08984375" hidden="0" customHeight="1">
      <x:c r="A66" s="8" t="str">
        <x:v>PRD-065</x:v>
      </x:c>
      <x:c r="B66" s="8" t="str">
        <x:v>SUP-025</x:v>
      </x:c>
      <x:c r="C66" s="8" t="str">
        <x:v>KOES BAKERY</x:v>
      </x:c>
      <x:c r="D66" s="8" t="str">
        <x:v>ROTI PISANG COKELAT</x:v>
      </x:c>
      <x:c r="E66" s="8" t="str">
        <x:v>YA</x:v>
      </x:c>
    </x:row>
    <x:row r="67" ht="17.08984375" hidden="0" customHeight="1">
      <x:c r="A67" s="8" t="str">
        <x:v>PRD-066</x:v>
      </x:c>
      <x:c r="B67" s="8" t="str">
        <x:v>SUP-025</x:v>
      </x:c>
      <x:c r="C67" s="8" t="str">
        <x:v>KOES BAKERY</x:v>
      </x:c>
      <x:c r="D67" s="8" t="str">
        <x:v>MUFFIN BANANA</x:v>
      </x:c>
      <x:c r="E67" s="8" t="str">
        <x:v>YA</x:v>
      </x:c>
    </x:row>
    <x:row r="68" ht="17.08984375" hidden="0" customHeight="1">
      <x:c r="A68" s="8" t="str">
        <x:v>PRD-067</x:v>
      </x:c>
      <x:c r="B68" s="8" t="str">
        <x:v>SUP-025</x:v>
      </x:c>
      <x:c r="C68" s="8" t="str">
        <x:v>KOES BAKERY</x:v>
      </x:c>
      <x:c r="D68" s="8" t="str">
        <x:v>MUFFIN KEJU</x:v>
      </x:c>
      <x:c r="E68" s="8" t="str">
        <x:v>YA</x:v>
      </x:c>
    </x:row>
    <x:row r="69" ht="17.08984375" hidden="0" customHeight="1">
      <x:c r="A69" s="8" t="str">
        <x:v>PRD-068</x:v>
      </x:c>
      <x:c r="B69" s="8" t="str">
        <x:v>SUP-025</x:v>
      </x:c>
      <x:c r="C69" s="8" t="str">
        <x:v>KOES BAKERY</x:v>
      </x:c>
      <x:c r="D69" s="8" t="str">
        <x:v>BROWNIES PANGGANG / KUKUS</x:v>
      </x:c>
      <x:c r="E69" s="8" t="str">
        <x:v>YA</x:v>
      </x:c>
    </x:row>
    <x:row r="70" ht="17.08984375" hidden="0" customHeight="1">
      <x:c r="A70" s="8" t="str">
        <x:v>PRD-069</x:v>
      </x:c>
      <x:c r="B70" s="8" t="str">
        <x:v>SUP-025</x:v>
      </x:c>
      <x:c r="C70" s="8" t="str">
        <x:v>KOES BAKERY</x:v>
      </x:c>
      <x:c r="D70" s="8" t="str">
        <x:v>CHIFFON BOLU</x:v>
      </x:c>
      <x:c r="E70" s="8" t="str">
        <x:v>YA</x:v>
      </x:c>
    </x:row>
    <x:row r="71" ht="17.08984375" hidden="0" customHeight="1">
      <x:c r="A71" s="8" t="str">
        <x:v>PRD-070</x:v>
      </x:c>
      <x:c r="B71" s="8" t="str">
        <x:v>SUP-025</x:v>
      </x:c>
      <x:c r="C71" s="8" t="str">
        <x:v>KOES BAKERY</x:v>
      </x:c>
      <x:c r="D71" s="8" t="str">
        <x:v>CHIFFON PREMIUM</x:v>
      </x:c>
      <x:c r="E71" s="8" t="str">
        <x:v>YA</x:v>
      </x:c>
    </x:row>
    <x:row r="72" ht="17.08984375" hidden="0" customHeight="1">
      <x:c r="A72" s="8" t="str">
        <x:v>PRD-071</x:v>
      </x:c>
      <x:c r="B72" s="8" t="str">
        <x:v>SUP-026</x:v>
      </x:c>
      <x:c r="C72" s="8" t="str">
        <x:v>KERING KENTANG MUSTOFA</x:v>
      </x:c>
      <x:c r="D72" s="8" t="str">
        <x:v>KERING KENTANG MUSTOFA</x:v>
      </x:c>
      <x:c r="E72" s="8" t="str">
        <x:v>YA</x:v>
      </x:c>
    </x:row>
    <x:row r="73" ht="17.08984375" hidden="0" customHeight="1">
      <x:c r="A73" s="8" t="str">
        <x:v>PRD-072</x:v>
      </x:c>
      <x:c r="B73" s="8" t="str">
        <x:v>SUP-026</x:v>
      </x:c>
      <x:c r="C73" s="8" t="str">
        <x:v>KERING KENTANG MUSTOFA</x:v>
      </x:c>
      <x:c r="D73" s="8" t="str">
        <x:v>SAMBAL PECEL</x:v>
      </x:c>
      <x:c r="E73" s="8" t="str">
        <x:v>YA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140000343322754" hidden="0" customWidth="1"/>
    <x:col min="2" max="2" width="12" hidden="0" customWidth="1"/>
    <x:col min="3" max="3" width="12.430000305175781" hidden="0" customWidth="1"/>
    <x:col min="4" max="4" width="16.56999969482422" hidden="0" customWidth="1"/>
    <x:col min="5" max="5" width="15.289999961853027" hidden="0" customWidth="1"/>
    <x:col min="6" max="6" width="10.430000305175781" hidden="0" customWidth="1"/>
    <x:col min="7" max="7" width="8.289999961853027" hidden="0" customWidth="1"/>
    <x:col min="8" max="8" width="12" hidden="0" customWidth="1"/>
  </x:cols>
  <x:sheetData>
    <x:row r="1" ht="17.08984375" hidden="0" customHeight="1">
      <x:c r="A1" s="7" t="str">
        <x:v>Tanggal_Input</x:v>
      </x:c>
      <x:c r="B1" s="7" t="str">
        <x:v>Product_ID</x:v>
      </x:c>
      <x:c r="C1" s="7" t="str">
        <x:v>Supplier_ID</x:v>
      </x:c>
      <x:c r="D1" s="7" t="str">
        <x:v>Nama_Supplier</x:v>
      </x:c>
      <x:c r="E1" s="7" t="str">
        <x:v>Nama_Produk</x:v>
      </x:c>
      <x:c r="F1" s="7" t="str">
        <x:v>Qty_Awal</x:v>
      </x:c>
      <x:c r="G1" s="7" t="str">
        <x:v>Catatan</x:v>
      </x:c>
      <x:c r="H1" s="7" t="str">
        <x:v>User_Input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140000343322754" hidden="0" customWidth="1"/>
    <x:col min="2" max="2" width="12" hidden="0" customWidth="1"/>
    <x:col min="3" max="3" width="12.430000305175781" hidden="0" customWidth="1"/>
    <x:col min="4" max="4" width="16.56999969482422" hidden="0" customWidth="1"/>
    <x:col min="5" max="5" width="15.289999961853027" hidden="0" customWidth="1"/>
    <x:col min="6" max="6" width="5.139999866485596" hidden="0" customWidth="1"/>
    <x:col min="7" max="7" width="3.859999895095825" hidden="0" customWidth="1"/>
    <x:col min="8" max="8" width="8.289999961853027" hidden="0" customWidth="1"/>
    <x:col min="9" max="9" width="12" hidden="0" customWidth="1"/>
  </x:cols>
  <x:sheetData>
    <x:row r="1" ht="17.08984375" hidden="0" customHeight="1">
      <x:c r="A1" s="7" t="str">
        <x:v>Tanggal_Input</x:v>
      </x:c>
      <x:c r="B1" s="7" t="str">
        <x:v>Product_ID</x:v>
      </x:c>
      <x:c r="C1" s="7" t="str">
        <x:v>Supplier_ID</x:v>
      </x:c>
      <x:c r="D1" s="7" t="str">
        <x:v>Nama_Supplier</x:v>
      </x:c>
      <x:c r="E1" s="7" t="str">
        <x:v>Nama_Produk</x:v>
      </x:c>
      <x:c r="F1" s="7" t="str">
        <x:v>Jenis</x:v>
      </x:c>
      <x:c r="G1" s="7" t="str">
        <x:v>Qty</x:v>
      </x:c>
      <x:c r="H1" s="7" t="str">
        <x:v>Catatan</x:v>
      </x:c>
      <x:c r="I1" s="7" t="str">
        <x:v>User_Input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.140000343322754" hidden="0" customWidth="1"/>
    <x:col min="2" max="2" width="12" hidden="0" customWidth="1"/>
    <x:col min="3" max="3" width="12.430000305175781" hidden="0" customWidth="1"/>
    <x:col min="4" max="4" width="16.56999969482422" hidden="0" customWidth="1"/>
    <x:col min="5" max="5" width="15.289999961853027" hidden="0" customWidth="1"/>
    <x:col min="6" max="6" width="9.859999656677246" hidden="0" customWidth="1"/>
    <x:col min="7" max="7" width="8.289999961853027" hidden="0" customWidth="1"/>
    <x:col min="8" max="8" width="12" hidden="0" customWidth="1"/>
  </x:cols>
  <x:sheetData>
    <x:row r="1" ht="17.08984375" hidden="0" customHeight="1">
      <x:c r="A1" s="7" t="str">
        <x:v>Tanggal_Input</x:v>
      </x:c>
      <x:c r="B1" s="7" t="str">
        <x:v>Product_ID</x:v>
      </x:c>
      <x:c r="C1" s="7" t="str">
        <x:v>Supplier_ID</x:v>
      </x:c>
      <x:c r="D1" s="7" t="str">
        <x:v>Nama_Supplier</x:v>
      </x:c>
      <x:c r="E1" s="7" t="str">
        <x:v>Nama_Produk</x:v>
      </x:c>
      <x:c r="F1" s="7" t="str">
        <x:v>Qty_Fisik</x:v>
      </x:c>
      <x:c r="G1" s="7" t="str">
        <x:v>Catatan</x:v>
      </x:c>
      <x:c r="H1" s="7" t="str">
        <x:v>User_Input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.430000305175781" hidden="0" customWidth="1"/>
    <x:col min="3" max="3" width="16.56999969482422" hidden="0" customWidth="1"/>
    <x:col min="4" max="4" width="8.140000343322754" hidden="0" customWidth="1"/>
    <x:col min="5" max="5" width="16.860000610351562" hidden="0" customWidth="1"/>
    <x:col min="6" max="6" width="19.709999084472656" hidden="0" customWidth="1"/>
    <x:col min="7" max="7" width="21.290000915527344" hidden="0" customWidth="1"/>
    <x:col min="8" max="8" width="10" hidden="0" customWidth="1"/>
    <x:col min="9" max="9" width="9.430000305175781" hidden="0" customWidth="1"/>
  </x:cols>
  <x:sheetData>
    <x:row r="1" ht="17.08984375" hidden="0" customHeight="1">
      <x:c r="A1" s="7" t="str">
        <x:v>Tanggal</x:v>
      </x:c>
      <x:c r="B1" s="7" t="str">
        <x:v>Supplier_ID</x:v>
      </x:c>
      <x:c r="C1" s="7" t="str">
        <x:v>Nama_Supplier</x:v>
      </x:c>
      <x:c r="D1" s="7" t="str">
        <x:v>No_WA</x:v>
      </x:c>
      <x:c r="E1" s="7" t="str">
        <x:v>Ringkasan_OUT</x:v>
      </x:c>
      <x:c r="F1" s="7" t="str">
        <x:v>Ringkasan_REJECT</x:v>
      </x:c>
      <x:c r="G1" s="7" t="str">
        <x:v>Ringkasan_EXPIRED</x:v>
      </x:c>
      <x:c r="H1" s="7" t="str">
        <x:v>Isi_Pesan</x:v>
      </x:c>
      <x:c r="I1" s="7" t="str">
        <x:v>Link_WA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.430000305175781" hidden="0" customWidth="1"/>
    <x:col min="3" max="3" width="34" hidden="0" customWidth="1"/>
    <x:col min="4" max="4" width="34.709999084472656" hidden="0" customWidth="1"/>
    <x:col min="5" max="5" width="10.430000305175781" hidden="0" customWidth="1"/>
    <x:col min="6" max="6" width="2.2899999618530273" hidden="0" customWidth="1"/>
    <x:col min="7" max="7" width="4.710000038146973" hidden="0" customWidth="1"/>
    <x:col min="8" max="8" width="7.570000171661377" hidden="0" customWidth="1"/>
    <x:col min="9" max="9" width="9" hidden="0" customWidth="1"/>
    <x:col min="10" max="10" width="13.140000343322754" hidden="0" customWidth="1"/>
    <x:col min="11" max="11" width="6.570000171661377" hidden="0" customWidth="1"/>
  </x:cols>
  <x:sheetData>
    <x:row r="1" ht="17.08984375" hidden="0" customHeight="1">
      <x:c r="A1" s="7" t="str">
        <x:v>Product_ID</x:v>
      </x:c>
      <x:c r="B1" s="7" t="str">
        <x:v>Supplier_ID</x:v>
      </x:c>
      <x:c r="C1" s="7" t="str">
        <x:v>Nama_Supplier</x:v>
      </x:c>
      <x:c r="D1" s="7" t="str">
        <x:v>Nama_Produk</x:v>
      </x:c>
      <x:c r="E1" s="7" t="str">
        <x:v>Qty_Awal</x:v>
      </x:c>
      <x:c r="F1" s="7" t="str">
        <x:v>IN</x:v>
      </x:c>
      <x:c r="G1" s="7" t="str">
        <x:v>OUT</x:v>
      </x:c>
      <x:c r="H1" s="7" t="str">
        <x:v>REJECT</x:v>
      </x:c>
      <x:c r="I1" s="7" t="str">
        <x:v>EXPIRED</x:v>
      </x:c>
      <x:c r="J1" s="7" t="str">
        <x:v>Stok_Sistem</x:v>
      </x:c>
      <x:c r="K1" s="7" t="str">
        <x:v>Status</x:v>
      </x:c>
    </x:row>
    <x:row r="2" ht="17.08984375" hidden="0" customHeight="1">
      <x:c r="A2" s="8" t="str">
        <x:v>PRD-001</x:v>
      </x:c>
      <x:c r="B2" s="8" t="str">
        <x:v>SUP-001</x:v>
      </x:c>
      <x:c r="C2" s="8" t="str">
        <x:v>LE BANANA CRIPIK</x:v>
      </x:c>
      <x:c r="D2" s="8" t="str">
        <x:v>KRIPIK PISANG LUMER</x:v>
      </x:c>
      <x:c r="E2" s="8" t="n">
        <x:f>SUMIFS(STOK_AWAL!$F:$F,STOK_AWAL!$B:$B,$A2)</x:f>
        <x:v>0</x:v>
      </x:c>
      <x:c r="F2" s="8" t="n">
        <x:f>SUMIFS(TRANSAKSI_STOK!$G:$G,TRANSAKSI_STOK!$B:$B,$A2,TRANSAKSI_STOK!$F:$F,"IN")</x:f>
        <x:v>0</x:v>
      </x:c>
      <x:c r="G2" s="8" t="n">
        <x:f>SUMIFS(TRANSAKSI_STOK!$G:$G,TRANSAKSI_STOK!$B:$B,$A2,TRANSAKSI_STOK!$F:$F,"OUT")</x:f>
        <x:v>0</x:v>
      </x:c>
      <x:c r="H2" s="8" t="n">
        <x:f>SUMIFS(TRANSAKSI_STOK!$G:$G,TRANSAKSI_STOK!$B:$B,$A2,TRANSAKSI_STOK!$F:$F,"REJECT")</x:f>
        <x:v>0</x:v>
      </x:c>
      <x:c r="I2" s="8" t="n">
        <x:f>SUMIFS(TRANSAKSI_STOK!$G:$G,TRANSAKSI_STOK!$B:$B,$A2,TRANSAKSI_STOK!$F:$F,"EXPIRED")</x:f>
        <x:v>0</x:v>
      </x:c>
      <x:c r="J2" s="8" t="n">
        <x:f>E2+F2-G2-H2-I2</x:f>
        <x:v>0</x:v>
      </x:c>
      <x:c r="K2" s="8" t="str">
        <x:f>IF(J2&lt;=0,"HABIS",IF(J2&lt;=3,"MENIPIS","AMAN"))</x:f>
        <x:v>HABIS</x:v>
      </x:c>
    </x:row>
    <x:row r="3" ht="17.08984375" hidden="0" customHeight="1">
      <x:c r="A3" s="8" t="str">
        <x:v>PRD-002</x:v>
      </x:c>
      <x:c r="B3" s="8" t="str">
        <x:v>SUP-002</x:v>
      </x:c>
      <x:c r="C3" s="8" t="str">
        <x:v>PUKIS SURABAYA</x:v>
      </x:c>
      <x:c r="D3" s="8" t="str">
        <x:v>PUKIS ORI</x:v>
      </x:c>
      <x:c r="E3" s="8" t="n">
        <x:f>SUMIFS(STOK_AWAL!$F:$F,STOK_AWAL!$B:$B,$A3)</x:f>
        <x:v>0</x:v>
      </x:c>
      <x:c r="F3" s="8" t="n">
        <x:f>SUMIFS(TRANSAKSI_STOK!$G:$G,TRANSAKSI_STOK!$B:$B,$A3,TRANSAKSI_STOK!$F:$F,"IN")</x:f>
        <x:v>0</x:v>
      </x:c>
      <x:c r="G3" s="8" t="n">
        <x:f>SUMIFS(TRANSAKSI_STOK!$G:$G,TRANSAKSI_STOK!$B:$B,$A3,TRANSAKSI_STOK!$F:$F,"OUT")</x:f>
        <x:v>0</x:v>
      </x:c>
      <x:c r="H3" s="8" t="n">
        <x:f>SUMIFS(TRANSAKSI_STOK!$G:$G,TRANSAKSI_STOK!$B:$B,$A3,TRANSAKSI_STOK!$F:$F,"REJECT")</x:f>
        <x:v>0</x:v>
      </x:c>
      <x:c r="I3" s="8" t="n">
        <x:f>SUMIFS(TRANSAKSI_STOK!$G:$G,TRANSAKSI_STOK!$B:$B,$A3,TRANSAKSI_STOK!$F:$F,"EXPIRED")</x:f>
        <x:v>0</x:v>
      </x:c>
      <x:c r="J3" s="8" t="n">
        <x:f>E3+F3-G3-H3-I3</x:f>
        <x:v>0</x:v>
      </x:c>
      <x:c r="K3" s="8" t="str">
        <x:f>IF(J3&lt;=0,"HABIS",IF(J3&lt;=3,"MENIPIS","AMAN"))</x:f>
        <x:v>HABIS</x:v>
      </x:c>
    </x:row>
    <x:row r="4" ht="17.08984375" hidden="0" customHeight="1">
      <x:c r="A4" s="8" t="str">
        <x:v>PRD-003</x:v>
      </x:c>
      <x:c r="B4" s="8" t="str">
        <x:v>SUP-002</x:v>
      </x:c>
      <x:c r="C4" s="8" t="str">
        <x:v>PUKIS SURABAYA</x:v>
      </x:c>
      <x:c r="D4" s="8" t="str">
        <x:v>PUKIS ISIAN</x:v>
      </x:c>
      <x:c r="E4" s="8" t="n">
        <x:f>SUMIFS(STOK_AWAL!$F:$F,STOK_AWAL!$B:$B,$A4)</x:f>
        <x:v>0</x:v>
      </x:c>
      <x:c r="F4" s="8" t="n">
        <x:f>SUMIFS(TRANSAKSI_STOK!$G:$G,TRANSAKSI_STOK!$B:$B,$A4,TRANSAKSI_STOK!$F:$F,"IN")</x:f>
        <x:v>0</x:v>
      </x:c>
      <x:c r="G4" s="8" t="n">
        <x:f>SUMIFS(TRANSAKSI_STOK!$G:$G,TRANSAKSI_STOK!$B:$B,$A4,TRANSAKSI_STOK!$F:$F,"OUT")</x:f>
        <x:v>0</x:v>
      </x:c>
      <x:c r="H4" s="8" t="n">
        <x:f>SUMIFS(TRANSAKSI_STOK!$G:$G,TRANSAKSI_STOK!$B:$B,$A4,TRANSAKSI_STOK!$F:$F,"REJECT")</x:f>
        <x:v>0</x:v>
      </x:c>
      <x:c r="I4" s="8" t="n">
        <x:f>SUMIFS(TRANSAKSI_STOK!$G:$G,TRANSAKSI_STOK!$B:$B,$A4,TRANSAKSI_STOK!$F:$F,"EXPIRED")</x:f>
        <x:v>0</x:v>
      </x:c>
      <x:c r="J4" s="8" t="n">
        <x:f>E4+F4-G4-H4-I4</x:f>
        <x:v>0</x:v>
      </x:c>
      <x:c r="K4" s="8" t="str">
        <x:f>IF(J4&lt;=0,"HABIS",IF(J4&lt;=3,"MENIPIS","AMAN"))</x:f>
        <x:v>HABIS</x:v>
      </x:c>
    </x:row>
    <x:row r="5" ht="17.08984375" hidden="0" customHeight="1">
      <x:c r="A5" s="8" t="str">
        <x:v>PRD-004</x:v>
      </x:c>
      <x:c r="B5" s="8" t="str">
        <x:v>SUP-003</x:v>
      </x:c>
      <x:c r="C5" s="8" t="str">
        <x:v>KLEPON</x:v>
      </x:c>
      <x:c r="D5" s="8" t="str">
        <x:v>KLEPON</x:v>
      </x:c>
      <x:c r="E5" s="8" t="n">
        <x:f>SUMIFS(STOK_AWAL!$F:$F,STOK_AWAL!$B:$B,$A5)</x:f>
        <x:v>0</x:v>
      </x:c>
      <x:c r="F5" s="8" t="n">
        <x:f>SUMIFS(TRANSAKSI_STOK!$G:$G,TRANSAKSI_STOK!$B:$B,$A5,TRANSAKSI_STOK!$F:$F,"IN")</x:f>
        <x:v>0</x:v>
      </x:c>
      <x:c r="G5" s="8" t="n">
        <x:f>SUMIFS(TRANSAKSI_STOK!$G:$G,TRANSAKSI_STOK!$B:$B,$A5,TRANSAKSI_STOK!$F:$F,"OUT")</x:f>
        <x:v>0</x:v>
      </x:c>
      <x:c r="H5" s="8" t="n">
        <x:f>SUMIFS(TRANSAKSI_STOK!$G:$G,TRANSAKSI_STOK!$B:$B,$A5,TRANSAKSI_STOK!$F:$F,"REJECT")</x:f>
        <x:v>0</x:v>
      </x:c>
      <x:c r="I5" s="8" t="n">
        <x:f>SUMIFS(TRANSAKSI_STOK!$G:$G,TRANSAKSI_STOK!$B:$B,$A5,TRANSAKSI_STOK!$F:$F,"EXPIRED")</x:f>
        <x:v>0</x:v>
      </x:c>
      <x:c r="J5" s="8" t="n">
        <x:f>E5+F5-G5-H5-I5</x:f>
        <x:v>0</x:v>
      </x:c>
      <x:c r="K5" s="8" t="str">
        <x:f>IF(J5&lt;=0,"HABIS",IF(J5&lt;=3,"MENIPIS","AMAN"))</x:f>
        <x:v>HABIS</x:v>
      </x:c>
    </x:row>
    <x:row r="6" ht="17.08984375" hidden="0" customHeight="1">
      <x:c r="A6" s="8" t="str">
        <x:v>PRD-005</x:v>
      </x:c>
      <x:c r="B6" s="8" t="str">
        <x:v>SUP-004</x:v>
      </x:c>
      <x:c r="C6" s="8" t="str">
        <x:v>NENNY LOUISE FOOD</x:v>
      </x:c>
      <x:c r="D6" s="8" t="str">
        <x:v>KIMBAB AYAM</x:v>
      </x:c>
      <x:c r="E6" s="8" t="n">
        <x:f>SUMIFS(STOK_AWAL!$F:$F,STOK_AWAL!$B:$B,$A6)</x:f>
        <x:v>0</x:v>
      </x:c>
      <x:c r="F6" s="8" t="n">
        <x:f>SUMIFS(TRANSAKSI_STOK!$G:$G,TRANSAKSI_STOK!$B:$B,$A6,TRANSAKSI_STOK!$F:$F,"IN")</x:f>
        <x:v>0</x:v>
      </x:c>
      <x:c r="G6" s="8" t="n">
        <x:f>SUMIFS(TRANSAKSI_STOK!$G:$G,TRANSAKSI_STOK!$B:$B,$A6,TRANSAKSI_STOK!$F:$F,"OUT")</x:f>
        <x:v>0</x:v>
      </x:c>
      <x:c r="H6" s="8" t="n">
        <x:f>SUMIFS(TRANSAKSI_STOK!$G:$G,TRANSAKSI_STOK!$B:$B,$A6,TRANSAKSI_STOK!$F:$F,"REJECT")</x:f>
        <x:v>0</x:v>
      </x:c>
      <x:c r="I6" s="8" t="n">
        <x:f>SUMIFS(TRANSAKSI_STOK!$G:$G,TRANSAKSI_STOK!$B:$B,$A6,TRANSAKSI_STOK!$F:$F,"EXPIRED")</x:f>
        <x:v>0</x:v>
      </x:c>
      <x:c r="J6" s="8" t="n">
        <x:f>E6+F6-G6-H6-I6</x:f>
        <x:v>0</x:v>
      </x:c>
      <x:c r="K6" s="8" t="str">
        <x:f>IF(J6&lt;=0,"HABIS",IF(J6&lt;=3,"MENIPIS","AMAN"))</x:f>
        <x:v>HABIS</x:v>
      </x:c>
    </x:row>
    <x:row r="7" ht="17.08984375" hidden="0" customHeight="1">
      <x:c r="A7" s="8" t="str">
        <x:v>PRD-006</x:v>
      </x:c>
      <x:c r="B7" s="8" t="str">
        <x:v>SUP-004</x:v>
      </x:c>
      <x:c r="C7" s="8" t="str">
        <x:v>NENNY LOUISE FOOD</x:v>
      </x:c>
      <x:c r="D7" s="8" t="str">
        <x:v>ONIGIRI</x:v>
      </x:c>
      <x:c r="E7" s="8" t="n">
        <x:f>SUMIFS(STOK_AWAL!$F:$F,STOK_AWAL!$B:$B,$A7)</x:f>
        <x:v>0</x:v>
      </x:c>
      <x:c r="F7" s="8" t="n">
        <x:f>SUMIFS(TRANSAKSI_STOK!$G:$G,TRANSAKSI_STOK!$B:$B,$A7,TRANSAKSI_STOK!$F:$F,"IN")</x:f>
        <x:v>0</x:v>
      </x:c>
      <x:c r="G7" s="8" t="n">
        <x:f>SUMIFS(TRANSAKSI_STOK!$G:$G,TRANSAKSI_STOK!$B:$B,$A7,TRANSAKSI_STOK!$F:$F,"OUT")</x:f>
        <x:v>0</x:v>
      </x:c>
      <x:c r="H7" s="8" t="n">
        <x:f>SUMIFS(TRANSAKSI_STOK!$G:$G,TRANSAKSI_STOK!$B:$B,$A7,TRANSAKSI_STOK!$F:$F,"REJECT")</x:f>
        <x:v>0</x:v>
      </x:c>
      <x:c r="I7" s="8" t="n">
        <x:f>SUMIFS(TRANSAKSI_STOK!$G:$G,TRANSAKSI_STOK!$B:$B,$A7,TRANSAKSI_STOK!$F:$F,"EXPIRED")</x:f>
        <x:v>0</x:v>
      </x:c>
      <x:c r="J7" s="8" t="n">
        <x:f>E7+F7-G7-H7-I7</x:f>
        <x:v>0</x:v>
      </x:c>
      <x:c r="K7" s="8" t="str">
        <x:f>IF(J7&lt;=0,"HABIS",IF(J7&lt;=3,"MENIPIS","AMAN"))</x:f>
        <x:v>HABIS</x:v>
      </x:c>
    </x:row>
    <x:row r="8" ht="17.08984375" hidden="0" customHeight="1">
      <x:c r="A8" s="8" t="str">
        <x:v>PRD-007</x:v>
      </x:c>
      <x:c r="B8" s="8" t="str">
        <x:v>SUP-005</x:v>
      </x:c>
      <x:c r="C8" s="8" t="str">
        <x:v>BOLEN NONA LUMES</x:v>
      </x:c>
      <x:c r="D8" s="8" t="str">
        <x:v>BOLEN LUMER</x:v>
      </x:c>
      <x:c r="E8" s="8" t="n">
        <x:f>SUMIFS(STOK_AWAL!$F:$F,STOK_AWAL!$B:$B,$A8)</x:f>
        <x:v>0</x:v>
      </x:c>
      <x:c r="F8" s="8" t="n">
        <x:f>SUMIFS(TRANSAKSI_STOK!$G:$G,TRANSAKSI_STOK!$B:$B,$A8,TRANSAKSI_STOK!$F:$F,"IN")</x:f>
        <x:v>0</x:v>
      </x:c>
      <x:c r="G8" s="8" t="n">
        <x:f>SUMIFS(TRANSAKSI_STOK!$G:$G,TRANSAKSI_STOK!$B:$B,$A8,TRANSAKSI_STOK!$F:$F,"OUT")</x:f>
        <x:v>0</x:v>
      </x:c>
      <x:c r="H8" s="8" t="n">
        <x:f>SUMIFS(TRANSAKSI_STOK!$G:$G,TRANSAKSI_STOK!$B:$B,$A8,TRANSAKSI_STOK!$F:$F,"REJECT")</x:f>
        <x:v>0</x:v>
      </x:c>
      <x:c r="I8" s="8" t="n">
        <x:f>SUMIFS(TRANSAKSI_STOK!$G:$G,TRANSAKSI_STOK!$B:$B,$A8,TRANSAKSI_STOK!$F:$F,"EXPIRED")</x:f>
        <x:v>0</x:v>
      </x:c>
      <x:c r="J8" s="8" t="n">
        <x:f>E8+F8-G8-H8-I8</x:f>
        <x:v>0</x:v>
      </x:c>
      <x:c r="K8" s="8" t="str">
        <x:f>IF(J8&lt;=0,"HABIS",IF(J8&lt;=3,"MENIPIS","AMAN"))</x:f>
        <x:v>HABIS</x:v>
      </x:c>
    </x:row>
    <x:row r="9" ht="17.08984375" hidden="0" customHeight="1">
      <x:c r="A9" s="8" t="str">
        <x:v>PRD-008</x:v>
      </x:c>
      <x:c r="B9" s="8" t="str">
        <x:v>SUP-006</x:v>
      </x:c>
      <x:c r="C9" s="8" t="str">
        <x:v>AZZA SNACK</x:v>
      </x:c>
      <x:c r="D9" s="8" t="str">
        <x:v>KRIPIK PISANG ASIN</x:v>
      </x:c>
      <x:c r="E9" s="8" t="n">
        <x:f>SUMIFS(STOK_AWAL!$F:$F,STOK_AWAL!$B:$B,$A9)</x:f>
        <x:v>0</x:v>
      </x:c>
      <x:c r="F9" s="8" t="n">
        <x:f>SUMIFS(TRANSAKSI_STOK!$G:$G,TRANSAKSI_STOK!$B:$B,$A9,TRANSAKSI_STOK!$F:$F,"IN")</x:f>
        <x:v>0</x:v>
      </x:c>
      <x:c r="G9" s="8" t="n">
        <x:f>SUMIFS(TRANSAKSI_STOK!$G:$G,TRANSAKSI_STOK!$B:$B,$A9,TRANSAKSI_STOK!$F:$F,"OUT")</x:f>
        <x:v>0</x:v>
      </x:c>
      <x:c r="H9" s="8" t="n">
        <x:f>SUMIFS(TRANSAKSI_STOK!$G:$G,TRANSAKSI_STOK!$B:$B,$A9,TRANSAKSI_STOK!$F:$F,"REJECT")</x:f>
        <x:v>0</x:v>
      </x:c>
      <x:c r="I9" s="8" t="n">
        <x:f>SUMIFS(TRANSAKSI_STOK!$G:$G,TRANSAKSI_STOK!$B:$B,$A9,TRANSAKSI_STOK!$F:$F,"EXPIRED")</x:f>
        <x:v>0</x:v>
      </x:c>
      <x:c r="J9" s="8" t="n">
        <x:f>E9+F9-G9-H9-I9</x:f>
        <x:v>0</x:v>
      </x:c>
      <x:c r="K9" s="8" t="str">
        <x:f>IF(J9&lt;=0,"HABIS",IF(J9&lt;=3,"MENIPIS","AMAN"))</x:f>
        <x:v>HABIS</x:v>
      </x:c>
    </x:row>
    <x:row r="10" ht="17.08984375" hidden="0" customHeight="1">
      <x:c r="A10" s="8" t="str">
        <x:v>PRD-009</x:v>
      </x:c>
      <x:c r="B10" s="8" t="str">
        <x:v>SUP-006</x:v>
      </x:c>
      <x:c r="C10" s="8" t="str">
        <x:v>AZZA SNACK</x:v>
      </x:c>
      <x:c r="D10" s="8" t="str">
        <x:v>KRIPIK PISANG COKLAT</x:v>
      </x:c>
      <x:c r="E10" s="8" t="n">
        <x:f>SUMIFS(STOK_AWAL!$F:$F,STOK_AWAL!$B:$B,$A10)</x:f>
        <x:v>0</x:v>
      </x:c>
      <x:c r="F10" s="8" t="n">
        <x:f>SUMIFS(TRANSAKSI_STOK!$G:$G,TRANSAKSI_STOK!$B:$B,$A10,TRANSAKSI_STOK!$F:$F,"IN")</x:f>
        <x:v>0</x:v>
      </x:c>
      <x:c r="G10" s="8" t="n">
        <x:f>SUMIFS(TRANSAKSI_STOK!$G:$G,TRANSAKSI_STOK!$B:$B,$A10,TRANSAKSI_STOK!$F:$F,"OUT")</x:f>
        <x:v>0</x:v>
      </x:c>
      <x:c r="H10" s="8" t="n">
        <x:f>SUMIFS(TRANSAKSI_STOK!$G:$G,TRANSAKSI_STOK!$B:$B,$A10,TRANSAKSI_STOK!$F:$F,"REJECT")</x:f>
        <x:v>0</x:v>
      </x:c>
      <x:c r="I10" s="8" t="n">
        <x:f>SUMIFS(TRANSAKSI_STOK!$G:$G,TRANSAKSI_STOK!$B:$B,$A10,TRANSAKSI_STOK!$F:$F,"EXPIRED")</x:f>
        <x:v>0</x:v>
      </x:c>
      <x:c r="J10" s="8" t="n">
        <x:f>E10+F10-G10-H10-I10</x:f>
        <x:v>0</x:v>
      </x:c>
      <x:c r="K10" s="8" t="str">
        <x:f>IF(J10&lt;=0,"HABIS",IF(J10&lt;=3,"MENIPIS","AMAN"))</x:f>
        <x:v>HABIS</x:v>
      </x:c>
    </x:row>
    <x:row r="11" ht="17.08984375" hidden="0" customHeight="1">
      <x:c r="A11" s="8" t="str">
        <x:v>PRD-010</x:v>
      </x:c>
      <x:c r="B11" s="8" t="str">
        <x:v>SUP-007</x:v>
      </x:c>
      <x:c r="C11" s="8" t="str">
        <x:v>NAMIRA SNACK</x:v>
      </x:c>
      <x:c r="D11" s="8" t="str">
        <x:v>BOLU GULUNG</x:v>
      </x:c>
      <x:c r="E11" s="8" t="n">
        <x:f>SUMIFS(STOK_AWAL!$F:$F,STOK_AWAL!$B:$B,$A11)</x:f>
        <x:v>0</x:v>
      </x:c>
      <x:c r="F11" s="8" t="n">
        <x:f>SUMIFS(TRANSAKSI_STOK!$G:$G,TRANSAKSI_STOK!$B:$B,$A11,TRANSAKSI_STOK!$F:$F,"IN")</x:f>
        <x:v>0</x:v>
      </x:c>
      <x:c r="G11" s="8" t="n">
        <x:f>SUMIFS(TRANSAKSI_STOK!$G:$G,TRANSAKSI_STOK!$B:$B,$A11,TRANSAKSI_STOK!$F:$F,"OUT")</x:f>
        <x:v>0</x:v>
      </x:c>
      <x:c r="H11" s="8" t="n">
        <x:f>SUMIFS(TRANSAKSI_STOK!$G:$G,TRANSAKSI_STOK!$B:$B,$A11,TRANSAKSI_STOK!$F:$F,"REJECT")</x:f>
        <x:v>0</x:v>
      </x:c>
      <x:c r="I11" s="8" t="n">
        <x:f>SUMIFS(TRANSAKSI_STOK!$G:$G,TRANSAKSI_STOK!$B:$B,$A11,TRANSAKSI_STOK!$F:$F,"EXPIRED")</x:f>
        <x:v>0</x:v>
      </x:c>
      <x:c r="J11" s="8" t="n">
        <x:f>E11+F11-G11-H11-I11</x:f>
        <x:v>0</x:v>
      </x:c>
      <x:c r="K11" s="8" t="str">
        <x:f>IF(J11&lt;=0,"HABIS",IF(J11&lt;=3,"MENIPIS","AMAN"))</x:f>
        <x:v>HABIS</x:v>
      </x:c>
    </x:row>
    <x:row r="12" ht="17.08984375" hidden="0" customHeight="1">
      <x:c r="A12" s="8" t="str">
        <x:v>PRD-011</x:v>
      </x:c>
      <x:c r="B12" s="8" t="str">
        <x:v>SUP-007</x:v>
      </x:c>
      <x:c r="C12" s="8" t="str">
        <x:v>NAMIRA SNACK</x:v>
      </x:c>
      <x:c r="D12" s="8" t="str">
        <x:v>PASTEL TUTUP</x:v>
      </x:c>
      <x:c r="E12" s="8" t="n">
        <x:f>SUMIFS(STOK_AWAL!$F:$F,STOK_AWAL!$B:$B,$A12)</x:f>
        <x:v>0</x:v>
      </x:c>
      <x:c r="F12" s="8" t="n">
        <x:f>SUMIFS(TRANSAKSI_STOK!$G:$G,TRANSAKSI_STOK!$B:$B,$A12,TRANSAKSI_STOK!$F:$F,"IN")</x:f>
        <x:v>0</x:v>
      </x:c>
      <x:c r="G12" s="8" t="n">
        <x:f>SUMIFS(TRANSAKSI_STOK!$G:$G,TRANSAKSI_STOK!$B:$B,$A12,TRANSAKSI_STOK!$F:$F,"OUT")</x:f>
        <x:v>0</x:v>
      </x:c>
      <x:c r="H12" s="8" t="n">
        <x:f>SUMIFS(TRANSAKSI_STOK!$G:$G,TRANSAKSI_STOK!$B:$B,$A12,TRANSAKSI_STOK!$F:$F,"REJECT")</x:f>
        <x:v>0</x:v>
      </x:c>
      <x:c r="I12" s="8" t="n">
        <x:f>SUMIFS(TRANSAKSI_STOK!$G:$G,TRANSAKSI_STOK!$B:$B,$A12,TRANSAKSI_STOK!$F:$F,"EXPIRED")</x:f>
        <x:v>0</x:v>
      </x:c>
      <x:c r="J12" s="8" t="n">
        <x:f>E12+F12-G12-H12-I12</x:f>
        <x:v>0</x:v>
      </x:c>
      <x:c r="K12" s="8" t="str">
        <x:f>IF(J12&lt;=0,"HABIS",IF(J12&lt;=3,"MENIPIS","AMAN"))</x:f>
        <x:v>HABIS</x:v>
      </x:c>
    </x:row>
    <x:row r="13" ht="17.08984375" hidden="0" customHeight="1">
      <x:c r="A13" s="8" t="str">
        <x:v>PRD-012</x:v>
      </x:c>
      <x:c r="B13" s="8" t="str">
        <x:v>SUP-008</x:v>
      </x:c>
      <x:c r="C13" s="8" t="str">
        <x:v>SIOMAY &amp; BATAGOR TIONGKOK</x:v>
      </x:c>
      <x:c r="D13" s="8" t="str">
        <x:v>SIOMAY</x:v>
      </x:c>
      <x:c r="E13" s="8" t="n">
        <x:f>SUMIFS(STOK_AWAL!$F:$F,STOK_AWAL!$B:$B,$A13)</x:f>
        <x:v>0</x:v>
      </x:c>
      <x:c r="F13" s="8" t="n">
        <x:f>SUMIFS(TRANSAKSI_STOK!$G:$G,TRANSAKSI_STOK!$B:$B,$A13,TRANSAKSI_STOK!$F:$F,"IN")</x:f>
        <x:v>0</x:v>
      </x:c>
      <x:c r="G13" s="8" t="n">
        <x:f>SUMIFS(TRANSAKSI_STOK!$G:$G,TRANSAKSI_STOK!$B:$B,$A13,TRANSAKSI_STOK!$F:$F,"OUT")</x:f>
        <x:v>0</x:v>
      </x:c>
      <x:c r="H13" s="8" t="n">
        <x:f>SUMIFS(TRANSAKSI_STOK!$G:$G,TRANSAKSI_STOK!$B:$B,$A13,TRANSAKSI_STOK!$F:$F,"REJECT")</x:f>
        <x:v>0</x:v>
      </x:c>
      <x:c r="I13" s="8" t="n">
        <x:f>SUMIFS(TRANSAKSI_STOK!$G:$G,TRANSAKSI_STOK!$B:$B,$A13,TRANSAKSI_STOK!$F:$F,"EXPIRED")</x:f>
        <x:v>0</x:v>
      </x:c>
      <x:c r="J13" s="8" t="n">
        <x:f>E13+F13-G13-H13-I13</x:f>
        <x:v>0</x:v>
      </x:c>
      <x:c r="K13" s="8" t="str">
        <x:f>IF(J13&lt;=0,"HABIS",IF(J13&lt;=3,"MENIPIS","AMAN"))</x:f>
        <x:v>HABIS</x:v>
      </x:c>
    </x:row>
    <x:row r="14" ht="17.08984375" hidden="0" customHeight="1">
      <x:c r="A14" s="8" t="str">
        <x:v>PRD-013</x:v>
      </x:c>
      <x:c r="B14" s="8" t="str">
        <x:v>SUP-008</x:v>
      </x:c>
      <x:c r="C14" s="8" t="str">
        <x:v>SIOMAY &amp; BATAGOR TIONGKOK</x:v>
      </x:c>
      <x:c r="D14" s="8" t="str">
        <x:v>BATAGOR</x:v>
      </x:c>
      <x:c r="E14" s="8" t="n">
        <x:f>SUMIFS(STOK_AWAL!$F:$F,STOK_AWAL!$B:$B,$A14)</x:f>
        <x:v>0</x:v>
      </x:c>
      <x:c r="F14" s="8" t="n">
        <x:f>SUMIFS(TRANSAKSI_STOK!$G:$G,TRANSAKSI_STOK!$B:$B,$A14,TRANSAKSI_STOK!$F:$F,"IN")</x:f>
        <x:v>0</x:v>
      </x:c>
      <x:c r="G14" s="8" t="n">
        <x:f>SUMIFS(TRANSAKSI_STOK!$G:$G,TRANSAKSI_STOK!$B:$B,$A14,TRANSAKSI_STOK!$F:$F,"OUT")</x:f>
        <x:v>0</x:v>
      </x:c>
      <x:c r="H14" s="8" t="n">
        <x:f>SUMIFS(TRANSAKSI_STOK!$G:$G,TRANSAKSI_STOK!$B:$B,$A14,TRANSAKSI_STOK!$F:$F,"REJECT")</x:f>
        <x:v>0</x:v>
      </x:c>
      <x:c r="I14" s="8" t="n">
        <x:f>SUMIFS(TRANSAKSI_STOK!$G:$G,TRANSAKSI_STOK!$B:$B,$A14,TRANSAKSI_STOK!$F:$F,"EXPIRED")</x:f>
        <x:v>0</x:v>
      </x:c>
      <x:c r="J14" s="8" t="n">
        <x:f>E14+F14-G14-H14-I14</x:f>
        <x:v>0</x:v>
      </x:c>
      <x:c r="K14" s="8" t="str">
        <x:f>IF(J14&lt;=0,"HABIS",IF(J14&lt;=3,"MENIPIS","AMAN"))</x:f>
        <x:v>HABIS</x:v>
      </x:c>
    </x:row>
    <x:row r="15" ht="17.08984375" hidden="0" customHeight="1">
      <x:c r="A15" s="8" t="str">
        <x:v>PRD-014</x:v>
      </x:c>
      <x:c r="B15" s="8" t="str">
        <x:v>SUP-009</x:v>
      </x:c>
      <x:c r="C15" s="8" t="str">
        <x:v>ANIS BASRENG</x:v>
      </x:c>
      <x:c r="D15" s="8" t="str">
        <x:v>BASRENG ARION</x:v>
      </x:c>
      <x:c r="E15" s="8" t="n">
        <x:f>SUMIFS(STOK_AWAL!$F:$F,STOK_AWAL!$B:$B,$A15)</x:f>
        <x:v>0</x:v>
      </x:c>
      <x:c r="F15" s="8" t="n">
        <x:f>SUMIFS(TRANSAKSI_STOK!$G:$G,TRANSAKSI_STOK!$B:$B,$A15,TRANSAKSI_STOK!$F:$F,"IN")</x:f>
        <x:v>0</x:v>
      </x:c>
      <x:c r="G15" s="8" t="n">
        <x:f>SUMIFS(TRANSAKSI_STOK!$G:$G,TRANSAKSI_STOK!$B:$B,$A15,TRANSAKSI_STOK!$F:$F,"OUT")</x:f>
        <x:v>0</x:v>
      </x:c>
      <x:c r="H15" s="8" t="n">
        <x:f>SUMIFS(TRANSAKSI_STOK!$G:$G,TRANSAKSI_STOK!$B:$B,$A15,TRANSAKSI_STOK!$F:$F,"REJECT")</x:f>
        <x:v>0</x:v>
      </x:c>
      <x:c r="I15" s="8" t="n">
        <x:f>SUMIFS(TRANSAKSI_STOK!$G:$G,TRANSAKSI_STOK!$B:$B,$A15,TRANSAKSI_STOK!$F:$F,"EXPIRED")</x:f>
        <x:v>0</x:v>
      </x:c>
      <x:c r="J15" s="8" t="n">
        <x:f>E15+F15-G15-H15-I15</x:f>
        <x:v>0</x:v>
      </x:c>
      <x:c r="K15" s="8" t="str">
        <x:f>IF(J15&lt;=0,"HABIS",IF(J15&lt;=3,"MENIPIS","AMAN"))</x:f>
        <x:v>HABIS</x:v>
      </x:c>
    </x:row>
    <x:row r="16" ht="17.08984375" hidden="0" customHeight="1">
      <x:c r="A16" s="8" t="str">
        <x:v>PRD-015</x:v>
      </x:c>
      <x:c r="B16" s="8" t="str">
        <x:v>SUP-010</x:v>
      </x:c>
      <x:c r="C16" s="8" t="str">
        <x:v>RAZZAIA SNACK</x:v>
      </x:c>
      <x:c r="D16" s="8" t="str">
        <x:v>MARTABAK TELOR</x:v>
      </x:c>
      <x:c r="E16" s="8" t="n">
        <x:f>SUMIFS(STOK_AWAL!$F:$F,STOK_AWAL!$B:$B,$A16)</x:f>
        <x:v>0</x:v>
      </x:c>
      <x:c r="F16" s="8" t="n">
        <x:f>SUMIFS(TRANSAKSI_STOK!$G:$G,TRANSAKSI_STOK!$B:$B,$A16,TRANSAKSI_STOK!$F:$F,"IN")</x:f>
        <x:v>0</x:v>
      </x:c>
      <x:c r="G16" s="8" t="n">
        <x:f>SUMIFS(TRANSAKSI_STOK!$G:$G,TRANSAKSI_STOK!$B:$B,$A16,TRANSAKSI_STOK!$F:$F,"OUT")</x:f>
        <x:v>0</x:v>
      </x:c>
      <x:c r="H16" s="8" t="n">
        <x:f>SUMIFS(TRANSAKSI_STOK!$G:$G,TRANSAKSI_STOK!$B:$B,$A16,TRANSAKSI_STOK!$F:$F,"REJECT")</x:f>
        <x:v>0</x:v>
      </x:c>
      <x:c r="I16" s="8" t="n">
        <x:f>SUMIFS(TRANSAKSI_STOK!$G:$G,TRANSAKSI_STOK!$B:$B,$A16,TRANSAKSI_STOK!$F:$F,"EXPIRED")</x:f>
        <x:v>0</x:v>
      </x:c>
      <x:c r="J16" s="8" t="n">
        <x:f>E16+F16-G16-H16-I16</x:f>
        <x:v>0</x:v>
      </x:c>
      <x:c r="K16" s="8" t="str">
        <x:f>IF(J16&lt;=0,"HABIS",IF(J16&lt;=3,"MENIPIS","AMAN"))</x:f>
        <x:v>HABIS</x:v>
      </x:c>
    </x:row>
    <x:row r="17" ht="17.08984375" hidden="0" customHeight="1">
      <x:c r="A17" s="8" t="str">
        <x:v>PRD-016</x:v>
      </x:c>
      <x:c r="B17" s="8" t="str">
        <x:v>SUP-011</x:v>
      </x:c>
      <x:c r="C17" s="8" t="str">
        <x:v>SAVORA</x:v>
      </x:c>
      <x:c r="D17" s="8" t="str">
        <x:v>SOSIS BAKAR + SAOS</x:v>
      </x:c>
      <x:c r="E17" s="8" t="n">
        <x:f>SUMIFS(STOK_AWAL!$F:$F,STOK_AWAL!$B:$B,$A17)</x:f>
        <x:v>0</x:v>
      </x:c>
      <x:c r="F17" s="8" t="n">
        <x:f>SUMIFS(TRANSAKSI_STOK!$G:$G,TRANSAKSI_STOK!$B:$B,$A17,TRANSAKSI_STOK!$F:$F,"IN")</x:f>
        <x:v>0</x:v>
      </x:c>
      <x:c r="G17" s="8" t="n">
        <x:f>SUMIFS(TRANSAKSI_STOK!$G:$G,TRANSAKSI_STOK!$B:$B,$A17,TRANSAKSI_STOK!$F:$F,"OUT")</x:f>
        <x:v>0</x:v>
      </x:c>
      <x:c r="H17" s="8" t="n">
        <x:f>SUMIFS(TRANSAKSI_STOK!$G:$G,TRANSAKSI_STOK!$B:$B,$A17,TRANSAKSI_STOK!$F:$F,"REJECT")</x:f>
        <x:v>0</x:v>
      </x:c>
      <x:c r="I17" s="8" t="n">
        <x:f>SUMIFS(TRANSAKSI_STOK!$G:$G,TRANSAKSI_STOK!$B:$B,$A17,TRANSAKSI_STOK!$F:$F,"EXPIRED")</x:f>
        <x:v>0</x:v>
      </x:c>
      <x:c r="J17" s="8" t="n">
        <x:f>E17+F17-G17-H17-I17</x:f>
        <x:v>0</x:v>
      </x:c>
      <x:c r="K17" s="8" t="str">
        <x:f>IF(J17&lt;=0,"HABIS",IF(J17&lt;=3,"MENIPIS","AMAN"))</x:f>
        <x:v>HABIS</x:v>
      </x:c>
    </x:row>
    <x:row r="18" ht="17.08984375" hidden="0" customHeight="1">
      <x:c r="A18" s="8" t="str">
        <x:v>PRD-017</x:v>
      </x:c>
      <x:c r="B18" s="8" t="str">
        <x:v>SUP-012</x:v>
      </x:c>
      <x:c r="C18" s="8" t="str">
        <x:v>ONE MORE CAKE</x:v>
      </x:c>
      <x:c r="D18" s="8" t="str">
        <x:v>BURNT CHEESECAKE</x:v>
      </x:c>
      <x:c r="E18" s="8" t="n">
        <x:f>SUMIFS(STOK_AWAL!$F:$F,STOK_AWAL!$B:$B,$A18)</x:f>
        <x:v>0</x:v>
      </x:c>
      <x:c r="F18" s="8" t="n">
        <x:f>SUMIFS(TRANSAKSI_STOK!$G:$G,TRANSAKSI_STOK!$B:$B,$A18,TRANSAKSI_STOK!$F:$F,"IN")</x:f>
        <x:v>0</x:v>
      </x:c>
      <x:c r="G18" s="8" t="n">
        <x:f>SUMIFS(TRANSAKSI_STOK!$G:$G,TRANSAKSI_STOK!$B:$B,$A18,TRANSAKSI_STOK!$F:$F,"OUT")</x:f>
        <x:v>0</x:v>
      </x:c>
      <x:c r="H18" s="8" t="n">
        <x:f>SUMIFS(TRANSAKSI_STOK!$G:$G,TRANSAKSI_STOK!$B:$B,$A18,TRANSAKSI_STOK!$F:$F,"REJECT")</x:f>
        <x:v>0</x:v>
      </x:c>
      <x:c r="I18" s="8" t="n">
        <x:f>SUMIFS(TRANSAKSI_STOK!$G:$G,TRANSAKSI_STOK!$B:$B,$A18,TRANSAKSI_STOK!$F:$F,"EXPIRED")</x:f>
        <x:v>0</x:v>
      </x:c>
      <x:c r="J18" s="8" t="n">
        <x:f>E18+F18-G18-H18-I18</x:f>
        <x:v>0</x:v>
      </x:c>
      <x:c r="K18" s="8" t="str">
        <x:f>IF(J18&lt;=0,"HABIS",IF(J18&lt;=3,"MENIPIS","AMAN"))</x:f>
        <x:v>HABIS</x:v>
      </x:c>
    </x:row>
    <x:row r="19" ht="17.08984375" hidden="0" customHeight="1">
      <x:c r="A19" s="8" t="str">
        <x:v>PRD-018</x:v>
      </x:c>
      <x:c r="B19" s="8" t="str">
        <x:v>SUP-012</x:v>
      </x:c>
      <x:c r="C19" s="8" t="str">
        <x:v>ONE MORE CAKE</x:v>
      </x:c>
      <x:c r="D19" s="8" t="str">
        <x:v>ICE BERG CHEESECAKE</x:v>
      </x:c>
      <x:c r="E19" s="8" t="n">
        <x:f>SUMIFS(STOK_AWAL!$F:$F,STOK_AWAL!$B:$B,$A19)</x:f>
        <x:v>0</x:v>
      </x:c>
      <x:c r="F19" s="8" t="n">
        <x:f>SUMIFS(TRANSAKSI_STOK!$G:$G,TRANSAKSI_STOK!$B:$B,$A19,TRANSAKSI_STOK!$F:$F,"IN")</x:f>
        <x:v>0</x:v>
      </x:c>
      <x:c r="G19" s="8" t="n">
        <x:f>SUMIFS(TRANSAKSI_STOK!$G:$G,TRANSAKSI_STOK!$B:$B,$A19,TRANSAKSI_STOK!$F:$F,"OUT")</x:f>
        <x:v>0</x:v>
      </x:c>
      <x:c r="H19" s="8" t="n">
        <x:f>SUMIFS(TRANSAKSI_STOK!$G:$G,TRANSAKSI_STOK!$B:$B,$A19,TRANSAKSI_STOK!$F:$F,"REJECT")</x:f>
        <x:v>0</x:v>
      </x:c>
      <x:c r="I19" s="8" t="n">
        <x:f>SUMIFS(TRANSAKSI_STOK!$G:$G,TRANSAKSI_STOK!$B:$B,$A19,TRANSAKSI_STOK!$F:$F,"EXPIRED")</x:f>
        <x:v>0</x:v>
      </x:c>
      <x:c r="J19" s="8" t="n">
        <x:f>E19+F19-G19-H19-I19</x:f>
        <x:v>0</x:v>
      </x:c>
      <x:c r="K19" s="8" t="str">
        <x:f>IF(J19&lt;=0,"HABIS",IF(J19&lt;=3,"MENIPIS","AMAN"))</x:f>
        <x:v>HABIS</x:v>
      </x:c>
    </x:row>
    <x:row r="20" ht="17.08984375" hidden="0" customHeight="1">
      <x:c r="A20" s="8" t="str">
        <x:v>PRD-019</x:v>
      </x:c>
      <x:c r="B20" s="8" t="str">
        <x:v>SUP-013</x:v>
      </x:c>
      <x:c r="C20" s="8" t="str">
        <x:v>ROTI KOPI OKE</x:v>
      </x:c>
      <x:c r="D20" s="8" t="str">
        <x:v>ROTI KOPI COKELAT</x:v>
      </x:c>
      <x:c r="E20" s="8" t="n">
        <x:f>SUMIFS(STOK_AWAL!$F:$F,STOK_AWAL!$B:$B,$A20)</x:f>
        <x:v>0</x:v>
      </x:c>
      <x:c r="F20" s="8" t="n">
        <x:f>SUMIFS(TRANSAKSI_STOK!$G:$G,TRANSAKSI_STOK!$B:$B,$A20,TRANSAKSI_STOK!$F:$F,"IN")</x:f>
        <x:v>0</x:v>
      </x:c>
      <x:c r="G20" s="8" t="n">
        <x:f>SUMIFS(TRANSAKSI_STOK!$G:$G,TRANSAKSI_STOK!$B:$B,$A20,TRANSAKSI_STOK!$F:$F,"OUT")</x:f>
        <x:v>0</x:v>
      </x:c>
      <x:c r="H20" s="8" t="n">
        <x:f>SUMIFS(TRANSAKSI_STOK!$G:$G,TRANSAKSI_STOK!$B:$B,$A20,TRANSAKSI_STOK!$F:$F,"REJECT")</x:f>
        <x:v>0</x:v>
      </x:c>
      <x:c r="I20" s="8" t="n">
        <x:f>SUMIFS(TRANSAKSI_STOK!$G:$G,TRANSAKSI_STOK!$B:$B,$A20,TRANSAKSI_STOK!$F:$F,"EXPIRED")</x:f>
        <x:v>0</x:v>
      </x:c>
      <x:c r="J20" s="8" t="n">
        <x:f>E20+F20-G20-H20-I20</x:f>
        <x:v>0</x:v>
      </x:c>
      <x:c r="K20" s="8" t="str">
        <x:f>IF(J20&lt;=0,"HABIS",IF(J20&lt;=3,"MENIPIS","AMAN"))</x:f>
        <x:v>HABIS</x:v>
      </x:c>
    </x:row>
    <x:row r="21" ht="17.08984375" hidden="0" customHeight="1">
      <x:c r="A21" s="8" t="str">
        <x:v>PRD-020</x:v>
      </x:c>
      <x:c r="B21" s="8" t="str">
        <x:v>SUP-013</x:v>
      </x:c>
      <x:c r="C21" s="8" t="str">
        <x:v>ROTI KOPI OKE</x:v>
      </x:c>
      <x:c r="D21" s="8" t="str">
        <x:v>FLOSS ROLL</x:v>
      </x:c>
      <x:c r="E21" s="8" t="n">
        <x:f>SUMIFS(STOK_AWAL!$F:$F,STOK_AWAL!$B:$B,$A21)</x:f>
        <x:v>0</x:v>
      </x:c>
      <x:c r="F21" s="8" t="n">
        <x:f>SUMIFS(TRANSAKSI_STOK!$G:$G,TRANSAKSI_STOK!$B:$B,$A21,TRANSAKSI_STOK!$F:$F,"IN")</x:f>
        <x:v>0</x:v>
      </x:c>
      <x:c r="G21" s="8" t="n">
        <x:f>SUMIFS(TRANSAKSI_STOK!$G:$G,TRANSAKSI_STOK!$B:$B,$A21,TRANSAKSI_STOK!$F:$F,"OUT")</x:f>
        <x:v>0</x:v>
      </x:c>
      <x:c r="H21" s="8" t="n">
        <x:f>SUMIFS(TRANSAKSI_STOK!$G:$G,TRANSAKSI_STOK!$B:$B,$A21,TRANSAKSI_STOK!$F:$F,"REJECT")</x:f>
        <x:v>0</x:v>
      </x:c>
      <x:c r="I21" s="8" t="n">
        <x:f>SUMIFS(TRANSAKSI_STOK!$G:$G,TRANSAKSI_STOK!$B:$B,$A21,TRANSAKSI_STOK!$F:$F,"EXPIRED")</x:f>
        <x:v>0</x:v>
      </x:c>
      <x:c r="J21" s="8" t="n">
        <x:f>E21+F21-G21-H21-I21</x:f>
        <x:v>0</x:v>
      </x:c>
      <x:c r="K21" s="8" t="str">
        <x:f>IF(J21&lt;=0,"HABIS",IF(J21&lt;=3,"MENIPIS","AMAN"))</x:f>
        <x:v>HABIS</x:v>
      </x:c>
    </x:row>
    <x:row r="22" ht="17.08984375" hidden="0" customHeight="1">
      <x:c r="A22" s="8" t="str">
        <x:v>PRD-021</x:v>
      </x:c>
      <x:c r="B22" s="8" t="str">
        <x:v>SUP-013</x:v>
      </x:c>
      <x:c r="C22" s="8" t="str">
        <x:v>ROTI KOPI OKE</x:v>
      </x:c>
      <x:c r="D22" s="8" t="str">
        <x:v>ROTI SOSIS</x:v>
      </x:c>
      <x:c r="E22" s="8" t="n">
        <x:f>SUMIFS(STOK_AWAL!$F:$F,STOK_AWAL!$B:$B,$A22)</x:f>
        <x:v>0</x:v>
      </x:c>
      <x:c r="F22" s="8" t="n">
        <x:f>SUMIFS(TRANSAKSI_STOK!$G:$G,TRANSAKSI_STOK!$B:$B,$A22,TRANSAKSI_STOK!$F:$F,"IN")</x:f>
        <x:v>0</x:v>
      </x:c>
      <x:c r="G22" s="8" t="n">
        <x:f>SUMIFS(TRANSAKSI_STOK!$G:$G,TRANSAKSI_STOK!$B:$B,$A22,TRANSAKSI_STOK!$F:$F,"OUT")</x:f>
        <x:v>0</x:v>
      </x:c>
      <x:c r="H22" s="8" t="n">
        <x:f>SUMIFS(TRANSAKSI_STOK!$G:$G,TRANSAKSI_STOK!$B:$B,$A22,TRANSAKSI_STOK!$F:$F,"REJECT")</x:f>
        <x:v>0</x:v>
      </x:c>
      <x:c r="I22" s="8" t="n">
        <x:f>SUMIFS(TRANSAKSI_STOK!$G:$G,TRANSAKSI_STOK!$B:$B,$A22,TRANSAKSI_STOK!$F:$F,"EXPIRED")</x:f>
        <x:v>0</x:v>
      </x:c>
      <x:c r="J22" s="8" t="n">
        <x:f>E22+F22-G22-H22-I22</x:f>
        <x:v>0</x:v>
      </x:c>
      <x:c r="K22" s="8" t="str">
        <x:f>IF(J22&lt;=0,"HABIS",IF(J22&lt;=3,"MENIPIS","AMAN"))</x:f>
        <x:v>HABIS</x:v>
      </x:c>
    </x:row>
    <x:row r="23" ht="17.08984375" hidden="0" customHeight="1">
      <x:c r="A23" s="8" t="str">
        <x:v>PRD-022</x:v>
      </x:c>
      <x:c r="B23" s="8" t="str">
        <x:v>SUP-013</x:v>
      </x:c>
      <x:c r="C23" s="8" t="str">
        <x:v>ROTI KOPI OKE</x:v>
      </x:c>
      <x:c r="D23" s="8" t="str">
        <x:v>ROTI KOPI ORIGINAL</x:v>
      </x:c>
      <x:c r="E23" s="8" t="n">
        <x:f>SUMIFS(STOK_AWAL!$F:$F,STOK_AWAL!$B:$B,$A23)</x:f>
        <x:v>0</x:v>
      </x:c>
      <x:c r="F23" s="8" t="n">
        <x:f>SUMIFS(TRANSAKSI_STOK!$G:$G,TRANSAKSI_STOK!$B:$B,$A23,TRANSAKSI_STOK!$F:$F,"IN")</x:f>
        <x:v>0</x:v>
      </x:c>
      <x:c r="G23" s="8" t="n">
        <x:f>SUMIFS(TRANSAKSI_STOK!$G:$G,TRANSAKSI_STOK!$B:$B,$A23,TRANSAKSI_STOK!$F:$F,"OUT")</x:f>
        <x:v>0</x:v>
      </x:c>
      <x:c r="H23" s="8" t="n">
        <x:f>SUMIFS(TRANSAKSI_STOK!$G:$G,TRANSAKSI_STOK!$B:$B,$A23,TRANSAKSI_STOK!$F:$F,"REJECT")</x:f>
        <x:v>0</x:v>
      </x:c>
      <x:c r="I23" s="8" t="n">
        <x:f>SUMIFS(TRANSAKSI_STOK!$G:$G,TRANSAKSI_STOK!$B:$B,$A23,TRANSAKSI_STOK!$F:$F,"EXPIRED")</x:f>
        <x:v>0</x:v>
      </x:c>
      <x:c r="J23" s="8" t="n">
        <x:f>E23+F23-G23-H23-I23</x:f>
        <x:v>0</x:v>
      </x:c>
      <x:c r="K23" s="8" t="str">
        <x:f>IF(J23&lt;=0,"HABIS",IF(J23&lt;=3,"MENIPIS","AMAN"))</x:f>
        <x:v>HABIS</x:v>
      </x:c>
    </x:row>
    <x:row r="24" ht="17.08984375" hidden="0" customHeight="1">
      <x:c r="A24" s="8" t="str">
        <x:v>PRD-023</x:v>
      </x:c>
      <x:c r="B24" s="8" t="str">
        <x:v>SUP-013</x:v>
      </x:c>
      <x:c r="C24" s="8" t="str">
        <x:v>ROTI KOPI OKE</x:v>
      </x:c>
      <x:c r="D24" s="8" t="str">
        <x:v>ROTI KOPI KEJU</x:v>
      </x:c>
      <x:c r="E24" s="8" t="n">
        <x:f>SUMIFS(STOK_AWAL!$F:$F,STOK_AWAL!$B:$B,$A24)</x:f>
        <x:v>0</x:v>
      </x:c>
      <x:c r="F24" s="8" t="n">
        <x:f>SUMIFS(TRANSAKSI_STOK!$G:$G,TRANSAKSI_STOK!$B:$B,$A24,TRANSAKSI_STOK!$F:$F,"IN")</x:f>
        <x:v>0</x:v>
      </x:c>
      <x:c r="G24" s="8" t="n">
        <x:f>SUMIFS(TRANSAKSI_STOK!$G:$G,TRANSAKSI_STOK!$B:$B,$A24,TRANSAKSI_STOK!$F:$F,"OUT")</x:f>
        <x:v>0</x:v>
      </x:c>
      <x:c r="H24" s="8" t="n">
        <x:f>SUMIFS(TRANSAKSI_STOK!$G:$G,TRANSAKSI_STOK!$B:$B,$A24,TRANSAKSI_STOK!$F:$F,"REJECT")</x:f>
        <x:v>0</x:v>
      </x:c>
      <x:c r="I24" s="8" t="n">
        <x:f>SUMIFS(TRANSAKSI_STOK!$G:$G,TRANSAKSI_STOK!$B:$B,$A24,TRANSAKSI_STOK!$F:$F,"EXPIRED")</x:f>
        <x:v>0</x:v>
      </x:c>
      <x:c r="J24" s="8" t="n">
        <x:f>E24+F24-G24-H24-I24</x:f>
        <x:v>0</x:v>
      </x:c>
      <x:c r="K24" s="8" t="str">
        <x:f>IF(J24&lt;=0,"HABIS",IF(J24&lt;=3,"MENIPIS","AMAN"))</x:f>
        <x:v>HABIS</x:v>
      </x:c>
    </x:row>
    <x:row r="25" ht="17.08984375" hidden="0" customHeight="1">
      <x:c r="A25" s="8" t="str">
        <x:v>PRD-024</x:v>
      </x:c>
      <x:c r="B25" s="8" t="str">
        <x:v>SUP-014</x:v>
      </x:c>
      <x:c r="C25" s="8" t="str">
        <x:v>VINA RICE BOWL</x:v>
      </x:c>
      <x:c r="D25" s="8" t="str">
        <x:v>RICEBOWL AYAM SUWIR</x:v>
      </x:c>
      <x:c r="E25" s="8" t="n">
        <x:f>SUMIFS(STOK_AWAL!$F:$F,STOK_AWAL!$B:$B,$A25)</x:f>
        <x:v>0</x:v>
      </x:c>
      <x:c r="F25" s="8" t="n">
        <x:f>SUMIFS(TRANSAKSI_STOK!$G:$G,TRANSAKSI_STOK!$B:$B,$A25,TRANSAKSI_STOK!$F:$F,"IN")</x:f>
        <x:v>0</x:v>
      </x:c>
      <x:c r="G25" s="8" t="n">
        <x:f>SUMIFS(TRANSAKSI_STOK!$G:$G,TRANSAKSI_STOK!$B:$B,$A25,TRANSAKSI_STOK!$F:$F,"OUT")</x:f>
        <x:v>0</x:v>
      </x:c>
      <x:c r="H25" s="8" t="n">
        <x:f>SUMIFS(TRANSAKSI_STOK!$G:$G,TRANSAKSI_STOK!$B:$B,$A25,TRANSAKSI_STOK!$F:$F,"REJECT")</x:f>
        <x:v>0</x:v>
      </x:c>
      <x:c r="I25" s="8" t="n">
        <x:f>SUMIFS(TRANSAKSI_STOK!$G:$G,TRANSAKSI_STOK!$B:$B,$A25,TRANSAKSI_STOK!$F:$F,"EXPIRED")</x:f>
        <x:v>0</x:v>
      </x:c>
      <x:c r="J25" s="8" t="n">
        <x:f>E25+F25-G25-H25-I25</x:f>
        <x:v>0</x:v>
      </x:c>
      <x:c r="K25" s="8" t="str">
        <x:f>IF(J25&lt;=0,"HABIS",IF(J25&lt;=3,"MENIPIS","AMAN"))</x:f>
        <x:v>HABIS</x:v>
      </x:c>
    </x:row>
    <x:row r="26" ht="17.08984375" hidden="0" customHeight="1">
      <x:c r="A26" s="8" t="str">
        <x:v>PRD-025</x:v>
      </x:c>
      <x:c r="B26" s="8" t="str">
        <x:v>SUP-014</x:v>
      </x:c>
      <x:c r="C26" s="8" t="str">
        <x:v>VINA RICE BOWL</x:v>
      </x:c>
      <x:c r="D26" s="8" t="str">
        <x:v>RICEBOWL BALADO ATI AMPELA</x:v>
      </x:c>
      <x:c r="E26" s="8" t="n">
        <x:f>SUMIFS(STOK_AWAL!$F:$F,STOK_AWAL!$B:$B,$A26)</x:f>
        <x:v>0</x:v>
      </x:c>
      <x:c r="F26" s="8" t="n">
        <x:f>SUMIFS(TRANSAKSI_STOK!$G:$G,TRANSAKSI_STOK!$B:$B,$A26,TRANSAKSI_STOK!$F:$F,"IN")</x:f>
        <x:v>0</x:v>
      </x:c>
      <x:c r="G26" s="8" t="n">
        <x:f>SUMIFS(TRANSAKSI_STOK!$G:$G,TRANSAKSI_STOK!$B:$B,$A26,TRANSAKSI_STOK!$F:$F,"OUT")</x:f>
        <x:v>0</x:v>
      </x:c>
      <x:c r="H26" s="8" t="n">
        <x:f>SUMIFS(TRANSAKSI_STOK!$G:$G,TRANSAKSI_STOK!$B:$B,$A26,TRANSAKSI_STOK!$F:$F,"REJECT")</x:f>
        <x:v>0</x:v>
      </x:c>
      <x:c r="I26" s="8" t="n">
        <x:f>SUMIFS(TRANSAKSI_STOK!$G:$G,TRANSAKSI_STOK!$B:$B,$A26,TRANSAKSI_STOK!$F:$F,"EXPIRED")</x:f>
        <x:v>0</x:v>
      </x:c>
      <x:c r="J26" s="8" t="n">
        <x:f>E26+F26-G26-H26-I26</x:f>
        <x:v>0</x:v>
      </x:c>
      <x:c r="K26" s="8" t="str">
        <x:f>IF(J26&lt;=0,"HABIS",IF(J26&lt;=3,"MENIPIS","AMAN"))</x:f>
        <x:v>HABIS</x:v>
      </x:c>
    </x:row>
    <x:row r="27" ht="17.08984375" hidden="0" customHeight="1">
      <x:c r="A27" s="8" t="str">
        <x:v>PRD-026</x:v>
      </x:c>
      <x:c r="B27" s="8" t="str">
        <x:v>SUP-014</x:v>
      </x:c>
      <x:c r="C27" s="8" t="str">
        <x:v>VINA RICE BOWL</x:v>
      </x:c>
      <x:c r="D27" s="8" t="str">
        <x:v>RICEBOWL TONGKOL SUWIR</x:v>
      </x:c>
      <x:c r="E27" s="8" t="n">
        <x:f>SUMIFS(STOK_AWAL!$F:$F,STOK_AWAL!$B:$B,$A27)</x:f>
        <x:v>0</x:v>
      </x:c>
      <x:c r="F27" s="8" t="n">
        <x:f>SUMIFS(TRANSAKSI_STOK!$G:$G,TRANSAKSI_STOK!$B:$B,$A27,TRANSAKSI_STOK!$F:$F,"IN")</x:f>
        <x:v>0</x:v>
      </x:c>
      <x:c r="G27" s="8" t="n">
        <x:f>SUMIFS(TRANSAKSI_STOK!$G:$G,TRANSAKSI_STOK!$B:$B,$A27,TRANSAKSI_STOK!$F:$F,"OUT")</x:f>
        <x:v>0</x:v>
      </x:c>
      <x:c r="H27" s="8" t="n">
        <x:f>SUMIFS(TRANSAKSI_STOK!$G:$G,TRANSAKSI_STOK!$B:$B,$A27,TRANSAKSI_STOK!$F:$F,"REJECT")</x:f>
        <x:v>0</x:v>
      </x:c>
      <x:c r="I27" s="8" t="n">
        <x:f>SUMIFS(TRANSAKSI_STOK!$G:$G,TRANSAKSI_STOK!$B:$B,$A27,TRANSAKSI_STOK!$F:$F,"EXPIRED")</x:f>
        <x:v>0</x:v>
      </x:c>
      <x:c r="J27" s="8" t="n">
        <x:f>E27+F27-G27-H27-I27</x:f>
        <x:v>0</x:v>
      </x:c>
      <x:c r="K27" s="8" t="str">
        <x:f>IF(J27&lt;=0,"HABIS",IF(J27&lt;=3,"MENIPIS","AMAN"))</x:f>
        <x:v>HABIS</x:v>
      </x:c>
    </x:row>
    <x:row r="28" ht="17.08984375" hidden="0" customHeight="1">
      <x:c r="A28" s="8" t="str">
        <x:v>PRD-027</x:v>
      </x:c>
      <x:c r="B28" s="8" t="str">
        <x:v>SUP-015</x:v>
      </x:c>
      <x:c r="C28" s="8" t="str">
        <x:v>LILYMIU KITCHEN</x:v>
      </x:c>
      <x:c r="D28" s="8" t="str">
        <x:v>BROWNIES ORIGINAL</x:v>
      </x:c>
      <x:c r="E28" s="8" t="n">
        <x:f>SUMIFS(STOK_AWAL!$F:$F,STOK_AWAL!$B:$B,$A28)</x:f>
        <x:v>0</x:v>
      </x:c>
      <x:c r="F28" s="8" t="n">
        <x:f>SUMIFS(TRANSAKSI_STOK!$G:$G,TRANSAKSI_STOK!$B:$B,$A28,TRANSAKSI_STOK!$F:$F,"IN")</x:f>
        <x:v>0</x:v>
      </x:c>
      <x:c r="G28" s="8" t="n">
        <x:f>SUMIFS(TRANSAKSI_STOK!$G:$G,TRANSAKSI_STOK!$B:$B,$A28,TRANSAKSI_STOK!$F:$F,"OUT")</x:f>
        <x:v>0</x:v>
      </x:c>
      <x:c r="H28" s="8" t="n">
        <x:f>SUMIFS(TRANSAKSI_STOK!$G:$G,TRANSAKSI_STOK!$B:$B,$A28,TRANSAKSI_STOK!$F:$F,"REJECT")</x:f>
        <x:v>0</x:v>
      </x:c>
      <x:c r="I28" s="8" t="n">
        <x:f>SUMIFS(TRANSAKSI_STOK!$G:$G,TRANSAKSI_STOK!$B:$B,$A28,TRANSAKSI_STOK!$F:$F,"EXPIRED")</x:f>
        <x:v>0</x:v>
      </x:c>
      <x:c r="J28" s="8" t="n">
        <x:f>E28+F28-G28-H28-I28</x:f>
        <x:v>0</x:v>
      </x:c>
      <x:c r="K28" s="8" t="str">
        <x:f>IF(J28&lt;=0,"HABIS",IF(J28&lt;=3,"MENIPIS","AMAN"))</x:f>
        <x:v>HABIS</x:v>
      </x:c>
    </x:row>
    <x:row r="29" ht="17.08984375" hidden="0" customHeight="1">
      <x:c r="A29" s="8" t="str">
        <x:v>PRD-028</x:v>
      </x:c>
      <x:c r="B29" s="8" t="str">
        <x:v>SUP-015</x:v>
      </x:c>
      <x:c r="C29" s="8" t="str">
        <x:v>LILYMIU KITCHEN</x:v>
      </x:c>
      <x:c r="D29" s="8" t="str">
        <x:v>BROWNIES CHOCOCHIP</x:v>
      </x:c>
      <x:c r="E29" s="8" t="n">
        <x:f>SUMIFS(STOK_AWAL!$F:$F,STOK_AWAL!$B:$B,$A29)</x:f>
        <x:v>0</x:v>
      </x:c>
      <x:c r="F29" s="8" t="n">
        <x:f>SUMIFS(TRANSAKSI_STOK!$G:$G,TRANSAKSI_STOK!$B:$B,$A29,TRANSAKSI_STOK!$F:$F,"IN")</x:f>
        <x:v>0</x:v>
      </x:c>
      <x:c r="G29" s="8" t="n">
        <x:f>SUMIFS(TRANSAKSI_STOK!$G:$G,TRANSAKSI_STOK!$B:$B,$A29,TRANSAKSI_STOK!$F:$F,"OUT")</x:f>
        <x:v>0</x:v>
      </x:c>
      <x:c r="H29" s="8" t="n">
        <x:f>SUMIFS(TRANSAKSI_STOK!$G:$G,TRANSAKSI_STOK!$B:$B,$A29,TRANSAKSI_STOK!$F:$F,"REJECT")</x:f>
        <x:v>0</x:v>
      </x:c>
      <x:c r="I29" s="8" t="n">
        <x:f>SUMIFS(TRANSAKSI_STOK!$G:$G,TRANSAKSI_STOK!$B:$B,$A29,TRANSAKSI_STOK!$F:$F,"EXPIRED")</x:f>
        <x:v>0</x:v>
      </x:c>
      <x:c r="J29" s="8" t="n">
        <x:f>E29+F29-G29-H29-I29</x:f>
        <x:v>0</x:v>
      </x:c>
      <x:c r="K29" s="8" t="str">
        <x:f>IF(J29&lt;=0,"HABIS",IF(J29&lt;=3,"MENIPIS","AMAN"))</x:f>
        <x:v>HABIS</x:v>
      </x:c>
    </x:row>
    <x:row r="30" ht="17.08984375" hidden="0" customHeight="1">
      <x:c r="A30" s="8" t="str">
        <x:v>PRD-029</x:v>
      </x:c>
      <x:c r="B30" s="8" t="str">
        <x:v>SUP-015</x:v>
      </x:c>
      <x:c r="C30" s="8" t="str">
        <x:v>LILYMIU KITCHEN</x:v>
      </x:c>
      <x:c r="D30" s="8" t="str">
        <x:v>BROWNIES CHEESE</x:v>
      </x:c>
      <x:c r="E30" s="8" t="n">
        <x:f>SUMIFS(STOK_AWAL!$F:$F,STOK_AWAL!$B:$B,$A30)</x:f>
        <x:v>0</x:v>
      </x:c>
      <x:c r="F30" s="8" t="n">
        <x:f>SUMIFS(TRANSAKSI_STOK!$G:$G,TRANSAKSI_STOK!$B:$B,$A30,TRANSAKSI_STOK!$F:$F,"IN")</x:f>
        <x:v>0</x:v>
      </x:c>
      <x:c r="G30" s="8" t="n">
        <x:f>SUMIFS(TRANSAKSI_STOK!$G:$G,TRANSAKSI_STOK!$B:$B,$A30,TRANSAKSI_STOK!$F:$F,"OUT")</x:f>
        <x:v>0</x:v>
      </x:c>
      <x:c r="H30" s="8" t="n">
        <x:f>SUMIFS(TRANSAKSI_STOK!$G:$G,TRANSAKSI_STOK!$B:$B,$A30,TRANSAKSI_STOK!$F:$F,"REJECT")</x:f>
        <x:v>0</x:v>
      </x:c>
      <x:c r="I30" s="8" t="n">
        <x:f>SUMIFS(TRANSAKSI_STOK!$G:$G,TRANSAKSI_STOK!$B:$B,$A30,TRANSAKSI_STOK!$F:$F,"EXPIRED")</x:f>
        <x:v>0</x:v>
      </x:c>
      <x:c r="J30" s="8" t="n">
        <x:f>E30+F30-G30-H30-I30</x:f>
        <x:v>0</x:v>
      </x:c>
      <x:c r="K30" s="8" t="str">
        <x:f>IF(J30&lt;=0,"HABIS",IF(J30&lt;=3,"MENIPIS","AMAN"))</x:f>
        <x:v>HABIS</x:v>
      </x:c>
    </x:row>
    <x:row r="31" ht="17.08984375" hidden="0" customHeight="1">
      <x:c r="A31" s="8" t="str">
        <x:v>PRD-030</x:v>
      </x:c>
      <x:c r="B31" s="8" t="str">
        <x:v>SUP-015</x:v>
      </x:c>
      <x:c r="C31" s="8" t="str">
        <x:v>LILYMIU KITCHEN</x:v>
      </x:c>
      <x:c r="D31" s="8" t="str">
        <x:v>BROWNIES OREO</x:v>
      </x:c>
      <x:c r="E31" s="8" t="n">
        <x:f>SUMIFS(STOK_AWAL!$F:$F,STOK_AWAL!$B:$B,$A31)</x:f>
        <x:v>0</x:v>
      </x:c>
      <x:c r="F31" s="8" t="n">
        <x:f>SUMIFS(TRANSAKSI_STOK!$G:$G,TRANSAKSI_STOK!$B:$B,$A31,TRANSAKSI_STOK!$F:$F,"IN")</x:f>
        <x:v>0</x:v>
      </x:c>
      <x:c r="G31" s="8" t="n">
        <x:f>SUMIFS(TRANSAKSI_STOK!$G:$G,TRANSAKSI_STOK!$B:$B,$A31,TRANSAKSI_STOK!$F:$F,"OUT")</x:f>
        <x:v>0</x:v>
      </x:c>
      <x:c r="H31" s="8" t="n">
        <x:f>SUMIFS(TRANSAKSI_STOK!$G:$G,TRANSAKSI_STOK!$B:$B,$A31,TRANSAKSI_STOK!$F:$F,"REJECT")</x:f>
        <x:v>0</x:v>
      </x:c>
      <x:c r="I31" s="8" t="n">
        <x:f>SUMIFS(TRANSAKSI_STOK!$G:$G,TRANSAKSI_STOK!$B:$B,$A31,TRANSAKSI_STOK!$F:$F,"EXPIRED")</x:f>
        <x:v>0</x:v>
      </x:c>
      <x:c r="J31" s="8" t="n">
        <x:f>E31+F31-G31-H31-I31</x:f>
        <x:v>0</x:v>
      </x:c>
      <x:c r="K31" s="8" t="str">
        <x:f>IF(J31&lt;=0,"HABIS",IF(J31&lt;=3,"MENIPIS","AMAN"))</x:f>
        <x:v>HABIS</x:v>
      </x:c>
    </x:row>
    <x:row r="32" ht="17.08984375" hidden="0" customHeight="1">
      <x:c r="A32" s="8" t="str">
        <x:v>PRD-031</x:v>
      </x:c>
      <x:c r="B32" s="8" t="str">
        <x:v>SUP-015</x:v>
      </x:c>
      <x:c r="C32" s="8" t="str">
        <x:v>LILYMIU KITCHEN</x:v>
      </x:c>
      <x:c r="D32" s="8" t="str">
        <x:v>BROWNIES ALMOND</x:v>
      </x:c>
      <x:c r="E32" s="8" t="n">
        <x:f>SUMIFS(STOK_AWAL!$F:$F,STOK_AWAL!$B:$B,$A32)</x:f>
        <x:v>0</x:v>
      </x:c>
      <x:c r="F32" s="8" t="n">
        <x:f>SUMIFS(TRANSAKSI_STOK!$G:$G,TRANSAKSI_STOK!$B:$B,$A32,TRANSAKSI_STOK!$F:$F,"IN")</x:f>
        <x:v>0</x:v>
      </x:c>
      <x:c r="G32" s="8" t="n">
        <x:f>SUMIFS(TRANSAKSI_STOK!$G:$G,TRANSAKSI_STOK!$B:$B,$A32,TRANSAKSI_STOK!$F:$F,"OUT")</x:f>
        <x:v>0</x:v>
      </x:c>
      <x:c r="H32" s="8" t="n">
        <x:f>SUMIFS(TRANSAKSI_STOK!$G:$G,TRANSAKSI_STOK!$B:$B,$A32,TRANSAKSI_STOK!$F:$F,"REJECT")</x:f>
        <x:v>0</x:v>
      </x:c>
      <x:c r="I32" s="8" t="n">
        <x:f>SUMIFS(TRANSAKSI_STOK!$G:$G,TRANSAKSI_STOK!$B:$B,$A32,TRANSAKSI_STOK!$F:$F,"EXPIRED")</x:f>
        <x:v>0</x:v>
      </x:c>
      <x:c r="J32" s="8" t="n">
        <x:f>E32+F32-G32-H32-I32</x:f>
        <x:v>0</x:v>
      </x:c>
      <x:c r="K32" s="8" t="str">
        <x:f>IF(J32&lt;=0,"HABIS",IF(J32&lt;=3,"MENIPIS","AMAN"))</x:f>
        <x:v>HABIS</x:v>
      </x:c>
    </x:row>
    <x:row r="33" ht="17.08984375" hidden="0" customHeight="1">
      <x:c r="A33" s="8" t="str">
        <x:v>PRD-032</x:v>
      </x:c>
      <x:c r="B33" s="8" t="str">
        <x:v>SUP-015</x:v>
      </x:c>
      <x:c r="C33" s="8" t="str">
        <x:v>LILYMIU KITCHEN</x:v>
      </x:c>
      <x:c r="D33" s="8" t="str">
        <x:v>BROWNIES CHOCOCHEESE</x:v>
      </x:c>
      <x:c r="E33" s="8" t="n">
        <x:f>SUMIFS(STOK_AWAL!$F:$F,STOK_AWAL!$B:$B,$A33)</x:f>
        <x:v>0</x:v>
      </x:c>
      <x:c r="F33" s="8" t="n">
        <x:f>SUMIFS(TRANSAKSI_STOK!$G:$G,TRANSAKSI_STOK!$B:$B,$A33,TRANSAKSI_STOK!$F:$F,"IN")</x:f>
        <x:v>0</x:v>
      </x:c>
      <x:c r="G33" s="8" t="n">
        <x:f>SUMIFS(TRANSAKSI_STOK!$G:$G,TRANSAKSI_STOK!$B:$B,$A33,TRANSAKSI_STOK!$F:$F,"OUT")</x:f>
        <x:v>0</x:v>
      </x:c>
      <x:c r="H33" s="8" t="n">
        <x:f>SUMIFS(TRANSAKSI_STOK!$G:$G,TRANSAKSI_STOK!$B:$B,$A33,TRANSAKSI_STOK!$F:$F,"REJECT")</x:f>
        <x:v>0</x:v>
      </x:c>
      <x:c r="I33" s="8" t="n">
        <x:f>SUMIFS(TRANSAKSI_STOK!$G:$G,TRANSAKSI_STOK!$B:$B,$A33,TRANSAKSI_STOK!$F:$F,"EXPIRED")</x:f>
        <x:v>0</x:v>
      </x:c>
      <x:c r="J33" s="8" t="n">
        <x:f>E33+F33-G33-H33-I33</x:f>
        <x:v>0</x:v>
      </x:c>
      <x:c r="K33" s="8" t="str">
        <x:f>IF(J33&lt;=0,"HABIS",IF(J33&lt;=3,"MENIPIS","AMAN"))</x:f>
        <x:v>HABIS</x:v>
      </x:c>
    </x:row>
    <x:row r="34" ht="17.08984375" hidden="0" customHeight="1">
      <x:c r="A34" s="8" t="str">
        <x:v>PRD-033</x:v>
      </x:c>
      <x:c r="B34" s="8" t="str">
        <x:v>SUP-015</x:v>
      </x:c>
      <x:c r="C34" s="8" t="str">
        <x:v>LILYMIU KITCHEN</x:v>
      </x:c>
      <x:c r="D34" s="8" t="str">
        <x:v>BROWNIES CHOCOALMOND</x:v>
      </x:c>
      <x:c r="E34" s="8" t="n">
        <x:f>SUMIFS(STOK_AWAL!$F:$F,STOK_AWAL!$B:$B,$A34)</x:f>
        <x:v>0</x:v>
      </x:c>
      <x:c r="F34" s="8" t="n">
        <x:f>SUMIFS(TRANSAKSI_STOK!$G:$G,TRANSAKSI_STOK!$B:$B,$A34,TRANSAKSI_STOK!$F:$F,"IN")</x:f>
        <x:v>0</x:v>
      </x:c>
      <x:c r="G34" s="8" t="n">
        <x:f>SUMIFS(TRANSAKSI_STOK!$G:$G,TRANSAKSI_STOK!$B:$B,$A34,TRANSAKSI_STOK!$F:$F,"OUT")</x:f>
        <x:v>0</x:v>
      </x:c>
      <x:c r="H34" s="8" t="n">
        <x:f>SUMIFS(TRANSAKSI_STOK!$G:$G,TRANSAKSI_STOK!$B:$B,$A34,TRANSAKSI_STOK!$F:$F,"REJECT")</x:f>
        <x:v>0</x:v>
      </x:c>
      <x:c r="I34" s="8" t="n">
        <x:f>SUMIFS(TRANSAKSI_STOK!$G:$G,TRANSAKSI_STOK!$B:$B,$A34,TRANSAKSI_STOK!$F:$F,"EXPIRED")</x:f>
        <x:v>0</x:v>
      </x:c>
      <x:c r="J34" s="8" t="n">
        <x:f>E34+F34-G34-H34-I34</x:f>
        <x:v>0</x:v>
      </x:c>
      <x:c r="K34" s="8" t="str">
        <x:f>IF(J34&lt;=0,"HABIS",IF(J34&lt;=3,"MENIPIS","AMAN"))</x:f>
        <x:v>HABIS</x:v>
      </x:c>
    </x:row>
    <x:row r="35" ht="17.08984375" hidden="0" customHeight="1">
      <x:c r="A35" s="8" t="str">
        <x:v>PRD-034</x:v>
      </x:c>
      <x:c r="B35" s="8" t="str">
        <x:v>SUP-016</x:v>
      </x:c>
      <x:c r="C35" s="8" t="str">
        <x:v>RUMAH COOKIES SARASWATI</x:v>
      </x:c>
      <x:c r="D35" s="8" t="str">
        <x:v>PIE BROWNIES</x:v>
      </x:c>
      <x:c r="E35" s="8" t="n">
        <x:f>SUMIFS(STOK_AWAL!$F:$F,STOK_AWAL!$B:$B,$A35)</x:f>
        <x:v>0</x:v>
      </x:c>
      <x:c r="F35" s="8" t="n">
        <x:f>SUMIFS(TRANSAKSI_STOK!$G:$G,TRANSAKSI_STOK!$B:$B,$A35,TRANSAKSI_STOK!$F:$F,"IN")</x:f>
        <x:v>0</x:v>
      </x:c>
      <x:c r="G35" s="8" t="n">
        <x:f>SUMIFS(TRANSAKSI_STOK!$G:$G,TRANSAKSI_STOK!$B:$B,$A35,TRANSAKSI_STOK!$F:$F,"OUT")</x:f>
        <x:v>0</x:v>
      </x:c>
      <x:c r="H35" s="8" t="n">
        <x:f>SUMIFS(TRANSAKSI_STOK!$G:$G,TRANSAKSI_STOK!$B:$B,$A35,TRANSAKSI_STOK!$F:$F,"REJECT")</x:f>
        <x:v>0</x:v>
      </x:c>
      <x:c r="I35" s="8" t="n">
        <x:f>SUMIFS(TRANSAKSI_STOK!$G:$G,TRANSAKSI_STOK!$B:$B,$A35,TRANSAKSI_STOK!$F:$F,"EXPIRED")</x:f>
        <x:v>0</x:v>
      </x:c>
      <x:c r="J35" s="8" t="n">
        <x:f>E35+F35-G35-H35-I35</x:f>
        <x:v>0</x:v>
      </x:c>
      <x:c r="K35" s="8" t="str">
        <x:f>IF(J35&lt;=0,"HABIS",IF(J35&lt;=3,"MENIPIS","AMAN"))</x:f>
        <x:v>HABIS</x:v>
      </x:c>
    </x:row>
    <x:row r="36" ht="17.08984375" hidden="0" customHeight="1">
      <x:c r="A36" s="8" t="str">
        <x:v>PRD-035</x:v>
      </x:c>
      <x:c r="B36" s="8" t="str">
        <x:v>SUP-016</x:v>
      </x:c>
      <x:c r="C36" s="8" t="str">
        <x:v>RUMAH COOKIES SARASWATI</x:v>
      </x:c>
      <x:c r="D36" s="8" t="str">
        <x:v>KUE KERING 250GR</x:v>
      </x:c>
      <x:c r="E36" s="8" t="n">
        <x:f>SUMIFS(STOK_AWAL!$F:$F,STOK_AWAL!$B:$B,$A36)</x:f>
        <x:v>0</x:v>
      </x:c>
      <x:c r="F36" s="8" t="n">
        <x:f>SUMIFS(TRANSAKSI_STOK!$G:$G,TRANSAKSI_STOK!$B:$B,$A36,TRANSAKSI_STOK!$F:$F,"IN")</x:f>
        <x:v>0</x:v>
      </x:c>
      <x:c r="G36" s="8" t="n">
        <x:f>SUMIFS(TRANSAKSI_STOK!$G:$G,TRANSAKSI_STOK!$B:$B,$A36,TRANSAKSI_STOK!$F:$F,"OUT")</x:f>
        <x:v>0</x:v>
      </x:c>
      <x:c r="H36" s="8" t="n">
        <x:f>SUMIFS(TRANSAKSI_STOK!$G:$G,TRANSAKSI_STOK!$B:$B,$A36,TRANSAKSI_STOK!$F:$F,"REJECT")</x:f>
        <x:v>0</x:v>
      </x:c>
      <x:c r="I36" s="8" t="n">
        <x:f>SUMIFS(TRANSAKSI_STOK!$G:$G,TRANSAKSI_STOK!$B:$B,$A36,TRANSAKSI_STOK!$F:$F,"EXPIRED")</x:f>
        <x:v>0</x:v>
      </x:c>
      <x:c r="J36" s="8" t="n">
        <x:f>E36+F36-G36-H36-I36</x:f>
        <x:v>0</x:v>
      </x:c>
      <x:c r="K36" s="8" t="str">
        <x:f>IF(J36&lt;=0,"HABIS",IF(J36&lt;=3,"MENIPIS","AMAN"))</x:f>
        <x:v>HABIS</x:v>
      </x:c>
    </x:row>
    <x:row r="37" ht="17.08984375" hidden="0" customHeight="1">
      <x:c r="A37" s="8" t="str">
        <x:v>PRD-036</x:v>
      </x:c>
      <x:c r="B37" s="8" t="str">
        <x:v>SUP-017</x:v>
      </x:c>
      <x:c r="C37" s="8" t="str">
        <x:v>DIMSUM KLAWING</x:v>
      </x:c>
      <x:c r="D37" s="8" t="str">
        <x:v>DIMSUM ORIGINAL</x:v>
      </x:c>
      <x:c r="E37" s="8" t="n">
        <x:f>SUMIFS(STOK_AWAL!$F:$F,STOK_AWAL!$B:$B,$A37)</x:f>
        <x:v>0</x:v>
      </x:c>
      <x:c r="F37" s="8" t="n">
        <x:f>SUMIFS(TRANSAKSI_STOK!$G:$G,TRANSAKSI_STOK!$B:$B,$A37,TRANSAKSI_STOK!$F:$F,"IN")</x:f>
        <x:v>0</x:v>
      </x:c>
      <x:c r="G37" s="8" t="n">
        <x:f>SUMIFS(TRANSAKSI_STOK!$G:$G,TRANSAKSI_STOK!$B:$B,$A37,TRANSAKSI_STOK!$F:$F,"OUT")</x:f>
        <x:v>0</x:v>
      </x:c>
      <x:c r="H37" s="8" t="n">
        <x:f>SUMIFS(TRANSAKSI_STOK!$G:$G,TRANSAKSI_STOK!$B:$B,$A37,TRANSAKSI_STOK!$F:$F,"REJECT")</x:f>
        <x:v>0</x:v>
      </x:c>
      <x:c r="I37" s="8" t="n">
        <x:f>SUMIFS(TRANSAKSI_STOK!$G:$G,TRANSAKSI_STOK!$B:$B,$A37,TRANSAKSI_STOK!$F:$F,"EXPIRED")</x:f>
        <x:v>0</x:v>
      </x:c>
      <x:c r="J37" s="8" t="n">
        <x:f>E37+F37-G37-H37-I37</x:f>
        <x:v>0</x:v>
      </x:c>
      <x:c r="K37" s="8" t="str">
        <x:f>IF(J37&lt;=0,"HABIS",IF(J37&lt;=3,"MENIPIS","AMAN"))</x:f>
        <x:v>HABIS</x:v>
      </x:c>
    </x:row>
    <x:row r="38" ht="17.08984375" hidden="0" customHeight="1">
      <x:c r="A38" s="8" t="str">
        <x:v>PRD-037</x:v>
      </x:c>
      <x:c r="B38" s="8" t="str">
        <x:v>SUP-017</x:v>
      </x:c>
      <x:c r="C38" s="8" t="str">
        <x:v>DIMSUM KLAWING</x:v>
      </x:c>
      <x:c r="D38" s="8" t="str">
        <x:v>DIMSUM MENTAI</x:v>
      </x:c>
      <x:c r="E38" s="8" t="n">
        <x:f>SUMIFS(STOK_AWAL!$F:$F,STOK_AWAL!$B:$B,$A38)</x:f>
        <x:v>0</x:v>
      </x:c>
      <x:c r="F38" s="8" t="n">
        <x:f>SUMIFS(TRANSAKSI_STOK!$G:$G,TRANSAKSI_STOK!$B:$B,$A38,TRANSAKSI_STOK!$F:$F,"IN")</x:f>
        <x:v>0</x:v>
      </x:c>
      <x:c r="G38" s="8" t="n">
        <x:f>SUMIFS(TRANSAKSI_STOK!$G:$G,TRANSAKSI_STOK!$B:$B,$A38,TRANSAKSI_STOK!$F:$F,"OUT")</x:f>
        <x:v>0</x:v>
      </x:c>
      <x:c r="H38" s="8" t="n">
        <x:f>SUMIFS(TRANSAKSI_STOK!$G:$G,TRANSAKSI_STOK!$B:$B,$A38,TRANSAKSI_STOK!$F:$F,"REJECT")</x:f>
        <x:v>0</x:v>
      </x:c>
      <x:c r="I38" s="8" t="n">
        <x:f>SUMIFS(TRANSAKSI_STOK!$G:$G,TRANSAKSI_STOK!$B:$B,$A38,TRANSAKSI_STOK!$F:$F,"EXPIRED")</x:f>
        <x:v>0</x:v>
      </x:c>
      <x:c r="J38" s="8" t="n">
        <x:f>E38+F38-G38-H38-I38</x:f>
        <x:v>0</x:v>
      </x:c>
      <x:c r="K38" s="8" t="str">
        <x:f>IF(J38&lt;=0,"HABIS",IF(J38&lt;=3,"MENIPIS","AMAN"))</x:f>
        <x:v>HABIS</x:v>
      </x:c>
    </x:row>
    <x:row r="39" ht="17.08984375" hidden="0" customHeight="1">
      <x:c r="A39" s="8" t="str">
        <x:v>PRD-038</x:v>
      </x:c>
      <x:c r="B39" s="8" t="str">
        <x:v>SUP-017</x:v>
      </x:c>
      <x:c r="C39" s="8" t="str">
        <x:v>DIMSUM KLAWING</x:v>
      </x:c>
      <x:c r="D39" s="8" t="str">
        <x:v>DIMSUM TARTAR</x:v>
      </x:c>
      <x:c r="E39" s="8" t="n">
        <x:f>SUMIFS(STOK_AWAL!$F:$F,STOK_AWAL!$B:$B,$A39)</x:f>
        <x:v>0</x:v>
      </x:c>
      <x:c r="F39" s="8" t="n">
        <x:f>SUMIFS(TRANSAKSI_STOK!$G:$G,TRANSAKSI_STOK!$B:$B,$A39,TRANSAKSI_STOK!$F:$F,"IN")</x:f>
        <x:v>0</x:v>
      </x:c>
      <x:c r="G39" s="8" t="n">
        <x:f>SUMIFS(TRANSAKSI_STOK!$G:$G,TRANSAKSI_STOK!$B:$B,$A39,TRANSAKSI_STOK!$F:$F,"OUT")</x:f>
        <x:v>0</x:v>
      </x:c>
      <x:c r="H39" s="8" t="n">
        <x:f>SUMIFS(TRANSAKSI_STOK!$G:$G,TRANSAKSI_STOK!$B:$B,$A39,TRANSAKSI_STOK!$F:$F,"REJECT")</x:f>
        <x:v>0</x:v>
      </x:c>
      <x:c r="I39" s="8" t="n">
        <x:f>SUMIFS(TRANSAKSI_STOK!$G:$G,TRANSAKSI_STOK!$B:$B,$A39,TRANSAKSI_STOK!$F:$F,"EXPIRED")</x:f>
        <x:v>0</x:v>
      </x:c>
      <x:c r="J39" s="8" t="n">
        <x:f>E39+F39-G39-H39-I39</x:f>
        <x:v>0</x:v>
      </x:c>
      <x:c r="K39" s="8" t="str">
        <x:f>IF(J39&lt;=0,"HABIS",IF(J39&lt;=3,"MENIPIS","AMAN"))</x:f>
        <x:v>HABIS</x:v>
      </x:c>
    </x:row>
    <x:row r="40" ht="17.08984375" hidden="0" customHeight="1">
      <x:c r="A40" s="8" t="str">
        <x:v>PRD-039</x:v>
      </x:c>
      <x:c r="B40" s="8" t="str">
        <x:v>SUP-018</x:v>
      </x:c>
      <x:c r="C40" s="8" t="str">
        <x:v>FOODIES TIME AGUSTINI</x:v>
      </x:c>
      <x:c r="D40" s="8" t="str">
        <x:v>CARAMEL CHEESECAKE</x:v>
      </x:c>
      <x:c r="E40" s="8" t="n">
        <x:f>SUMIFS(STOK_AWAL!$F:$F,STOK_AWAL!$B:$B,$A40)</x:f>
        <x:v>0</x:v>
      </x:c>
      <x:c r="F40" s="8" t="n">
        <x:f>SUMIFS(TRANSAKSI_STOK!$G:$G,TRANSAKSI_STOK!$B:$B,$A40,TRANSAKSI_STOK!$F:$F,"IN")</x:f>
        <x:v>0</x:v>
      </x:c>
      <x:c r="G40" s="8" t="n">
        <x:f>SUMIFS(TRANSAKSI_STOK!$G:$G,TRANSAKSI_STOK!$B:$B,$A40,TRANSAKSI_STOK!$F:$F,"OUT")</x:f>
        <x:v>0</x:v>
      </x:c>
      <x:c r="H40" s="8" t="n">
        <x:f>SUMIFS(TRANSAKSI_STOK!$G:$G,TRANSAKSI_STOK!$B:$B,$A40,TRANSAKSI_STOK!$F:$F,"REJECT")</x:f>
        <x:v>0</x:v>
      </x:c>
      <x:c r="I40" s="8" t="n">
        <x:f>SUMIFS(TRANSAKSI_STOK!$G:$G,TRANSAKSI_STOK!$B:$B,$A40,TRANSAKSI_STOK!$F:$F,"EXPIRED")</x:f>
        <x:v>0</x:v>
      </x:c>
      <x:c r="J40" s="8" t="n">
        <x:f>E40+F40-G40-H40-I40</x:f>
        <x:v>0</x:v>
      </x:c>
      <x:c r="K40" s="8" t="str">
        <x:f>IF(J40&lt;=0,"HABIS",IF(J40&lt;=3,"MENIPIS","AMAN"))</x:f>
        <x:v>HABIS</x:v>
      </x:c>
    </x:row>
    <x:row r="41" ht="17.08984375" hidden="0" customHeight="1">
      <x:c r="A41" s="8" t="str">
        <x:v>PRD-040</x:v>
      </x:c>
      <x:c r="B41" s="8" t="str">
        <x:v>SUP-018</x:v>
      </x:c>
      <x:c r="C41" s="8" t="str">
        <x:v>FOODIES TIME AGUSTINI</x:v>
      </x:c>
      <x:c r="D41" s="8" t="str">
        <x:v>SOFT COOKIES</x:v>
      </x:c>
      <x:c r="E41" s="8" t="n">
        <x:f>SUMIFS(STOK_AWAL!$F:$F,STOK_AWAL!$B:$B,$A41)</x:f>
        <x:v>0</x:v>
      </x:c>
      <x:c r="F41" s="8" t="n">
        <x:f>SUMIFS(TRANSAKSI_STOK!$G:$G,TRANSAKSI_STOK!$B:$B,$A41,TRANSAKSI_STOK!$F:$F,"IN")</x:f>
        <x:v>0</x:v>
      </x:c>
      <x:c r="G41" s="8" t="n">
        <x:f>SUMIFS(TRANSAKSI_STOK!$G:$G,TRANSAKSI_STOK!$B:$B,$A41,TRANSAKSI_STOK!$F:$F,"OUT")</x:f>
        <x:v>0</x:v>
      </x:c>
      <x:c r="H41" s="8" t="n">
        <x:f>SUMIFS(TRANSAKSI_STOK!$G:$G,TRANSAKSI_STOK!$B:$B,$A41,TRANSAKSI_STOK!$F:$F,"REJECT")</x:f>
        <x:v>0</x:v>
      </x:c>
      <x:c r="I41" s="8" t="n">
        <x:f>SUMIFS(TRANSAKSI_STOK!$G:$G,TRANSAKSI_STOK!$B:$B,$A41,TRANSAKSI_STOK!$F:$F,"EXPIRED")</x:f>
        <x:v>0</x:v>
      </x:c>
      <x:c r="J41" s="8" t="n">
        <x:f>E41+F41-G41-H41-I41</x:f>
        <x:v>0</x:v>
      </x:c>
      <x:c r="K41" s="8" t="str">
        <x:f>IF(J41&lt;=0,"HABIS",IF(J41&lt;=3,"MENIPIS","AMAN"))</x:f>
        <x:v>HABIS</x:v>
      </x:c>
    </x:row>
    <x:row r="42" ht="17.08984375" hidden="0" customHeight="1">
      <x:c r="A42" s="8" t="str">
        <x:v>PRD-041</x:v>
      </x:c>
      <x:c r="B42" s="8" t="str">
        <x:v>SUP-019</x:v>
      </x:c>
      <x:c r="C42" s="8" t="str">
        <x:v>PISCOK MBLEBER</x:v>
      </x:c>
      <x:c r="D42" s="8" t="str">
        <x:v>PISANG COKELAT</x:v>
      </x:c>
      <x:c r="E42" s="8" t="n">
        <x:f>SUMIFS(STOK_AWAL!$F:$F,STOK_AWAL!$B:$B,$A42)</x:f>
        <x:v>0</x:v>
      </x:c>
      <x:c r="F42" s="8" t="n">
        <x:f>SUMIFS(TRANSAKSI_STOK!$G:$G,TRANSAKSI_STOK!$B:$B,$A42,TRANSAKSI_STOK!$F:$F,"IN")</x:f>
        <x:v>0</x:v>
      </x:c>
      <x:c r="G42" s="8" t="n">
        <x:f>SUMIFS(TRANSAKSI_STOK!$G:$G,TRANSAKSI_STOK!$B:$B,$A42,TRANSAKSI_STOK!$F:$F,"OUT")</x:f>
        <x:v>0</x:v>
      </x:c>
      <x:c r="H42" s="8" t="n">
        <x:f>SUMIFS(TRANSAKSI_STOK!$G:$G,TRANSAKSI_STOK!$B:$B,$A42,TRANSAKSI_STOK!$F:$F,"REJECT")</x:f>
        <x:v>0</x:v>
      </x:c>
      <x:c r="I42" s="8" t="n">
        <x:f>SUMIFS(TRANSAKSI_STOK!$G:$G,TRANSAKSI_STOK!$B:$B,$A42,TRANSAKSI_STOK!$F:$F,"EXPIRED")</x:f>
        <x:v>0</x:v>
      </x:c>
      <x:c r="J42" s="8" t="n">
        <x:f>E42+F42-G42-H42-I42</x:f>
        <x:v>0</x:v>
      </x:c>
      <x:c r="K42" s="8" t="str">
        <x:f>IF(J42&lt;=0,"HABIS",IF(J42&lt;=3,"MENIPIS","AMAN"))</x:f>
        <x:v>HABIS</x:v>
      </x:c>
    </x:row>
    <x:row r="43" ht="17.08984375" hidden="0" customHeight="1">
      <x:c r="A43" s="8" t="str">
        <x:v>PRD-042</x:v>
      </x:c>
      <x:c r="B43" s="8" t="str">
        <x:v>SUP-020</x:v>
      </x:c>
      <x:c r="C43" s="8" t="str">
        <x:v>CAMILANKU</x:v>
      </x:c>
      <x:c r="D43" s="8" t="str">
        <x:v>BASRENG DAUN JERUK</x:v>
      </x:c>
      <x:c r="E43" s="8" t="n">
        <x:f>SUMIFS(STOK_AWAL!$F:$F,STOK_AWAL!$B:$B,$A43)</x:f>
        <x:v>0</x:v>
      </x:c>
      <x:c r="F43" s="8" t="n">
        <x:f>SUMIFS(TRANSAKSI_STOK!$G:$G,TRANSAKSI_STOK!$B:$B,$A43,TRANSAKSI_STOK!$F:$F,"IN")</x:f>
        <x:v>0</x:v>
      </x:c>
      <x:c r="G43" s="8" t="n">
        <x:f>SUMIFS(TRANSAKSI_STOK!$G:$G,TRANSAKSI_STOK!$B:$B,$A43,TRANSAKSI_STOK!$F:$F,"OUT")</x:f>
        <x:v>0</x:v>
      </x:c>
      <x:c r="H43" s="8" t="n">
        <x:f>SUMIFS(TRANSAKSI_STOK!$G:$G,TRANSAKSI_STOK!$B:$B,$A43,TRANSAKSI_STOK!$F:$F,"REJECT")</x:f>
        <x:v>0</x:v>
      </x:c>
      <x:c r="I43" s="8" t="n">
        <x:f>SUMIFS(TRANSAKSI_STOK!$G:$G,TRANSAKSI_STOK!$B:$B,$A43,TRANSAKSI_STOK!$F:$F,"EXPIRED")</x:f>
        <x:v>0</x:v>
      </x:c>
      <x:c r="J43" s="8" t="n">
        <x:f>E43+F43-G43-H43-I43</x:f>
        <x:v>0</x:v>
      </x:c>
      <x:c r="K43" s="8" t="str">
        <x:f>IF(J43&lt;=0,"HABIS",IF(J43&lt;=3,"MENIPIS","AMAN"))</x:f>
        <x:v>HABIS</x:v>
      </x:c>
    </x:row>
    <x:row r="44" ht="17.08984375" hidden="0" customHeight="1">
      <x:c r="A44" s="8" t="str">
        <x:v>PRD-043</x:v>
      </x:c>
      <x:c r="B44" s="8" t="str">
        <x:v>SUP-021</x:v>
      </x:c>
      <x:c r="C44" s="8" t="str">
        <x:v>REMAH LEMBUT</x:v>
      </x:c>
      <x:c r="D44" s="8" t="str">
        <x:v>ROTI SISIR</x:v>
      </x:c>
      <x:c r="E44" s="8" t="n">
        <x:f>SUMIFS(STOK_AWAL!$F:$F,STOK_AWAL!$B:$B,$A44)</x:f>
        <x:v>0</x:v>
      </x:c>
      <x:c r="F44" s="8" t="n">
        <x:f>SUMIFS(TRANSAKSI_STOK!$G:$G,TRANSAKSI_STOK!$B:$B,$A44,TRANSAKSI_STOK!$F:$F,"IN")</x:f>
        <x:v>0</x:v>
      </x:c>
      <x:c r="G44" s="8" t="n">
        <x:f>SUMIFS(TRANSAKSI_STOK!$G:$G,TRANSAKSI_STOK!$B:$B,$A44,TRANSAKSI_STOK!$F:$F,"OUT")</x:f>
        <x:v>0</x:v>
      </x:c>
      <x:c r="H44" s="8" t="n">
        <x:f>SUMIFS(TRANSAKSI_STOK!$G:$G,TRANSAKSI_STOK!$B:$B,$A44,TRANSAKSI_STOK!$F:$F,"REJECT")</x:f>
        <x:v>0</x:v>
      </x:c>
      <x:c r="I44" s="8" t="n">
        <x:f>SUMIFS(TRANSAKSI_STOK!$G:$G,TRANSAKSI_STOK!$B:$B,$A44,TRANSAKSI_STOK!$F:$F,"EXPIRED")</x:f>
        <x:v>0</x:v>
      </x:c>
      <x:c r="J44" s="8" t="n">
        <x:f>E44+F44-G44-H44-I44</x:f>
        <x:v>0</x:v>
      </x:c>
      <x:c r="K44" s="8" t="str">
        <x:f>IF(J44&lt;=0,"HABIS",IF(J44&lt;=3,"MENIPIS","AMAN"))</x:f>
        <x:v>HABIS</x:v>
      </x:c>
    </x:row>
    <x:row r="45" ht="17.08984375" hidden="0" customHeight="1">
      <x:c r="A45" s="8" t="str">
        <x:v>PRD-044</x:v>
      </x:c>
      <x:c r="B45" s="8" t="str">
        <x:v>SUP-022</x:v>
      </x:c>
      <x:c r="C45" s="8" t="str">
        <x:v>LARIZYA BAKES</x:v>
      </x:c>
      <x:c r="D45" s="8" t="str">
        <x:v>BURNT CHEESECAKE</x:v>
      </x:c>
      <x:c r="E45" s="8" t="n">
        <x:f>SUMIFS(STOK_AWAL!$F:$F,STOK_AWAL!$B:$B,$A45)</x:f>
        <x:v>0</x:v>
      </x:c>
      <x:c r="F45" s="8" t="n">
        <x:f>SUMIFS(TRANSAKSI_STOK!$G:$G,TRANSAKSI_STOK!$B:$B,$A45,TRANSAKSI_STOK!$F:$F,"IN")</x:f>
        <x:v>0</x:v>
      </x:c>
      <x:c r="G45" s="8" t="n">
        <x:f>SUMIFS(TRANSAKSI_STOK!$G:$G,TRANSAKSI_STOK!$B:$B,$A45,TRANSAKSI_STOK!$F:$F,"OUT")</x:f>
        <x:v>0</x:v>
      </x:c>
      <x:c r="H45" s="8" t="n">
        <x:f>SUMIFS(TRANSAKSI_STOK!$G:$G,TRANSAKSI_STOK!$B:$B,$A45,TRANSAKSI_STOK!$F:$F,"REJECT")</x:f>
        <x:v>0</x:v>
      </x:c>
      <x:c r="I45" s="8" t="n">
        <x:f>SUMIFS(TRANSAKSI_STOK!$G:$G,TRANSAKSI_STOK!$B:$B,$A45,TRANSAKSI_STOK!$F:$F,"EXPIRED")</x:f>
        <x:v>0</x:v>
      </x:c>
      <x:c r="J45" s="8" t="n">
        <x:f>E45+F45-G45-H45-I45</x:f>
        <x:v>0</x:v>
      </x:c>
      <x:c r="K45" s="8" t="str">
        <x:f>IF(J45&lt;=0,"HABIS",IF(J45&lt;=3,"MENIPIS","AMAN"))</x:f>
        <x:v>HABIS</x:v>
      </x:c>
    </x:row>
    <x:row r="46" ht="17.08984375" hidden="0" customHeight="1">
      <x:c r="A46" s="8" t="str">
        <x:v>PRD-045</x:v>
      </x:c>
      <x:c r="B46" s="8" t="str">
        <x:v>SUP-023</x:v>
      </x:c>
      <x:c r="C46" s="8" t="str">
        <x:v>SAHLA CHEESECAKE</x:v>
      </x:c>
      <x:c r="D46" s="8" t="str">
        <x:v>CHEESECAKE OREO</x:v>
      </x:c>
      <x:c r="E46" s="8" t="n">
        <x:f>SUMIFS(STOK_AWAL!$F:$F,STOK_AWAL!$B:$B,$A46)</x:f>
        <x:v>0</x:v>
      </x:c>
      <x:c r="F46" s="8" t="n">
        <x:f>SUMIFS(TRANSAKSI_STOK!$G:$G,TRANSAKSI_STOK!$B:$B,$A46,TRANSAKSI_STOK!$F:$F,"IN")</x:f>
        <x:v>0</x:v>
      </x:c>
      <x:c r="G46" s="8" t="n">
        <x:f>SUMIFS(TRANSAKSI_STOK!$G:$G,TRANSAKSI_STOK!$B:$B,$A46,TRANSAKSI_STOK!$F:$F,"OUT")</x:f>
        <x:v>0</x:v>
      </x:c>
      <x:c r="H46" s="8" t="n">
        <x:f>SUMIFS(TRANSAKSI_STOK!$G:$G,TRANSAKSI_STOK!$B:$B,$A46,TRANSAKSI_STOK!$F:$F,"REJECT")</x:f>
        <x:v>0</x:v>
      </x:c>
      <x:c r="I46" s="8" t="n">
        <x:f>SUMIFS(TRANSAKSI_STOK!$G:$G,TRANSAKSI_STOK!$B:$B,$A46,TRANSAKSI_STOK!$F:$F,"EXPIRED")</x:f>
        <x:v>0</x:v>
      </x:c>
      <x:c r="J46" s="8" t="n">
        <x:f>E46+F46-G46-H46-I46</x:f>
        <x:v>0</x:v>
      </x:c>
      <x:c r="K46" s="8" t="str">
        <x:f>IF(J46&lt;=0,"HABIS",IF(J46&lt;=3,"MENIPIS","AMAN"))</x:f>
        <x:v>HABIS</x:v>
      </x:c>
    </x:row>
    <x:row r="47" ht="17.08984375" hidden="0" customHeight="1">
      <x:c r="A47" s="8" t="str">
        <x:v>PRD-046</x:v>
      </x:c>
      <x:c r="B47" s="8" t="str">
        <x:v>SUP-023</x:v>
      </x:c>
      <x:c r="C47" s="8" t="str">
        <x:v>SAHLA CHEESECAKE</x:v>
      </x:c>
      <x:c r="D47" s="8" t="str">
        <x:v>CHEESECAKE REDVELVET</x:v>
      </x:c>
      <x:c r="E47" s="8" t="n">
        <x:f>SUMIFS(STOK_AWAL!$F:$F,STOK_AWAL!$B:$B,$A47)</x:f>
        <x:v>0</x:v>
      </x:c>
      <x:c r="F47" s="8" t="n">
        <x:f>SUMIFS(TRANSAKSI_STOK!$G:$G,TRANSAKSI_STOK!$B:$B,$A47,TRANSAKSI_STOK!$F:$F,"IN")</x:f>
        <x:v>0</x:v>
      </x:c>
      <x:c r="G47" s="8" t="n">
        <x:f>SUMIFS(TRANSAKSI_STOK!$G:$G,TRANSAKSI_STOK!$B:$B,$A47,TRANSAKSI_STOK!$F:$F,"OUT")</x:f>
        <x:v>0</x:v>
      </x:c>
      <x:c r="H47" s="8" t="n">
        <x:f>SUMIFS(TRANSAKSI_STOK!$G:$G,TRANSAKSI_STOK!$B:$B,$A47,TRANSAKSI_STOK!$F:$F,"REJECT")</x:f>
        <x:v>0</x:v>
      </x:c>
      <x:c r="I47" s="8" t="n">
        <x:f>SUMIFS(TRANSAKSI_STOK!$G:$G,TRANSAKSI_STOK!$B:$B,$A47,TRANSAKSI_STOK!$F:$F,"EXPIRED")</x:f>
        <x:v>0</x:v>
      </x:c>
      <x:c r="J47" s="8" t="n">
        <x:f>E47+F47-G47-H47-I47</x:f>
        <x:v>0</x:v>
      </x:c>
      <x:c r="K47" s="8" t="str">
        <x:f>IF(J47&lt;=0,"HABIS",IF(J47&lt;=3,"MENIPIS","AMAN"))</x:f>
        <x:v>HABIS</x:v>
      </x:c>
    </x:row>
    <x:row r="48" ht="17.08984375" hidden="0" customHeight="1">
      <x:c r="A48" s="8" t="str">
        <x:v>PRD-047</x:v>
      </x:c>
      <x:c r="B48" s="8" t="str">
        <x:v>SUP-023</x:v>
      </x:c>
      <x:c r="C48" s="8" t="str">
        <x:v>SAHLA CHEESECAKE</x:v>
      </x:c>
      <x:c r="D48" s="8" t="str">
        <x:v>CHEESECAKE PERMEN CHACHA</x:v>
      </x:c>
      <x:c r="E48" s="8" t="n">
        <x:f>SUMIFS(STOK_AWAL!$F:$F,STOK_AWAL!$B:$B,$A48)</x:f>
        <x:v>0</x:v>
      </x:c>
      <x:c r="F48" s="8" t="n">
        <x:f>SUMIFS(TRANSAKSI_STOK!$G:$G,TRANSAKSI_STOK!$B:$B,$A48,TRANSAKSI_STOK!$F:$F,"IN")</x:f>
        <x:v>0</x:v>
      </x:c>
      <x:c r="G48" s="8" t="n">
        <x:f>SUMIFS(TRANSAKSI_STOK!$G:$G,TRANSAKSI_STOK!$B:$B,$A48,TRANSAKSI_STOK!$F:$F,"OUT")</x:f>
        <x:v>0</x:v>
      </x:c>
      <x:c r="H48" s="8" t="n">
        <x:f>SUMIFS(TRANSAKSI_STOK!$G:$G,TRANSAKSI_STOK!$B:$B,$A48,TRANSAKSI_STOK!$F:$F,"REJECT")</x:f>
        <x:v>0</x:v>
      </x:c>
      <x:c r="I48" s="8" t="n">
        <x:f>SUMIFS(TRANSAKSI_STOK!$G:$G,TRANSAKSI_STOK!$B:$B,$A48,TRANSAKSI_STOK!$F:$F,"EXPIRED")</x:f>
        <x:v>0</x:v>
      </x:c>
      <x:c r="J48" s="8" t="n">
        <x:f>E48+F48-G48-H48-I48</x:f>
        <x:v>0</x:v>
      </x:c>
      <x:c r="K48" s="8" t="str">
        <x:f>IF(J48&lt;=0,"HABIS",IF(J48&lt;=3,"MENIPIS","AMAN"))</x:f>
        <x:v>HABIS</x:v>
      </x:c>
    </x:row>
    <x:row r="49" ht="17.08984375" hidden="0" customHeight="1">
      <x:c r="A49" s="8" t="str">
        <x:v>PRD-048</x:v>
      </x:c>
      <x:c r="B49" s="8" t="str">
        <x:v>SUP-023</x:v>
      </x:c>
      <x:c r="C49" s="8" t="str">
        <x:v>SAHLA CHEESECAKE</x:v>
      </x:c>
      <x:c r="D49" s="8" t="str">
        <x:v>CHEESECAKE KEJU OREO</x:v>
      </x:c>
      <x:c r="E49" s="8" t="n">
        <x:f>SUMIFS(STOK_AWAL!$F:$F,STOK_AWAL!$B:$B,$A49)</x:f>
        <x:v>0</x:v>
      </x:c>
      <x:c r="F49" s="8" t="n">
        <x:f>SUMIFS(TRANSAKSI_STOK!$G:$G,TRANSAKSI_STOK!$B:$B,$A49,TRANSAKSI_STOK!$F:$F,"IN")</x:f>
        <x:v>0</x:v>
      </x:c>
      <x:c r="G49" s="8" t="n">
        <x:f>SUMIFS(TRANSAKSI_STOK!$G:$G,TRANSAKSI_STOK!$B:$B,$A49,TRANSAKSI_STOK!$F:$F,"OUT")</x:f>
        <x:v>0</x:v>
      </x:c>
      <x:c r="H49" s="8" t="n">
        <x:f>SUMIFS(TRANSAKSI_STOK!$G:$G,TRANSAKSI_STOK!$B:$B,$A49,TRANSAKSI_STOK!$F:$F,"REJECT")</x:f>
        <x:v>0</x:v>
      </x:c>
      <x:c r="I49" s="8" t="n">
        <x:f>SUMIFS(TRANSAKSI_STOK!$G:$G,TRANSAKSI_STOK!$B:$B,$A49,TRANSAKSI_STOK!$F:$F,"EXPIRED")</x:f>
        <x:v>0</x:v>
      </x:c>
      <x:c r="J49" s="8" t="n">
        <x:f>E49+F49-G49-H49-I49</x:f>
        <x:v>0</x:v>
      </x:c>
      <x:c r="K49" s="8" t="str">
        <x:f>IF(J49&lt;=0,"HABIS",IF(J49&lt;=3,"MENIPIS","AMAN"))</x:f>
        <x:v>HABIS</x:v>
      </x:c>
    </x:row>
    <x:row r="50" ht="17.08984375" hidden="0" customHeight="1">
      <x:c r="A50" s="8" t="str">
        <x:v>PRD-049</x:v>
      </x:c>
      <x:c r="B50" s="8" t="str">
        <x:v>SUP-024</x:v>
      </x:c>
      <x:c r="C50" s="8" t="str">
        <x:v>COOKIES TIWAY</x:v>
      </x:c>
      <x:c r="D50" s="8" t="str">
        <x:v>COOKIES ORIGINAL</x:v>
      </x:c>
      <x:c r="E50" s="8" t="n">
        <x:f>SUMIFS(STOK_AWAL!$F:$F,STOK_AWAL!$B:$B,$A50)</x:f>
        <x:v>0</x:v>
      </x:c>
      <x:c r="F50" s="8" t="n">
        <x:f>SUMIFS(TRANSAKSI_STOK!$G:$G,TRANSAKSI_STOK!$B:$B,$A50,TRANSAKSI_STOK!$F:$F,"IN")</x:f>
        <x:v>0</x:v>
      </x:c>
      <x:c r="G50" s="8" t="n">
        <x:f>SUMIFS(TRANSAKSI_STOK!$G:$G,TRANSAKSI_STOK!$B:$B,$A50,TRANSAKSI_STOK!$F:$F,"OUT")</x:f>
        <x:v>0</x:v>
      </x:c>
      <x:c r="H50" s="8" t="n">
        <x:f>SUMIFS(TRANSAKSI_STOK!$G:$G,TRANSAKSI_STOK!$B:$B,$A50,TRANSAKSI_STOK!$F:$F,"REJECT")</x:f>
        <x:v>0</x:v>
      </x:c>
      <x:c r="I50" s="8" t="n">
        <x:f>SUMIFS(TRANSAKSI_STOK!$G:$G,TRANSAKSI_STOK!$B:$B,$A50,TRANSAKSI_STOK!$F:$F,"EXPIRED")</x:f>
        <x:v>0</x:v>
      </x:c>
      <x:c r="J50" s="8" t="n">
        <x:f>E50+F50-G50-H50-I50</x:f>
        <x:v>0</x:v>
      </x:c>
      <x:c r="K50" s="8" t="str">
        <x:f>IF(J50&lt;=0,"HABIS",IF(J50&lt;=3,"MENIPIS","AMAN"))</x:f>
        <x:v>HABIS</x:v>
      </x:c>
    </x:row>
    <x:row r="51" ht="17.08984375" hidden="0" customHeight="1">
      <x:c r="A51" s="8" t="str">
        <x:v>PRD-050</x:v>
      </x:c>
      <x:c r="B51" s="8" t="str">
        <x:v>SUP-024</x:v>
      </x:c>
      <x:c r="C51" s="8" t="str">
        <x:v>COOKIES TIWAY</x:v>
      </x:c>
      <x:c r="D51" s="8" t="str">
        <x:v>COOKIES MATCHA</x:v>
      </x:c>
      <x:c r="E51" s="8" t="n">
        <x:f>SUMIFS(STOK_AWAL!$F:$F,STOK_AWAL!$B:$B,$A51)</x:f>
        <x:v>0</x:v>
      </x:c>
      <x:c r="F51" s="8" t="n">
        <x:f>SUMIFS(TRANSAKSI_STOK!$G:$G,TRANSAKSI_STOK!$B:$B,$A51,TRANSAKSI_STOK!$F:$F,"IN")</x:f>
        <x:v>0</x:v>
      </x:c>
      <x:c r="G51" s="8" t="n">
        <x:f>SUMIFS(TRANSAKSI_STOK!$G:$G,TRANSAKSI_STOK!$B:$B,$A51,TRANSAKSI_STOK!$F:$F,"OUT")</x:f>
        <x:v>0</x:v>
      </x:c>
      <x:c r="H51" s="8" t="n">
        <x:f>SUMIFS(TRANSAKSI_STOK!$G:$G,TRANSAKSI_STOK!$B:$B,$A51,TRANSAKSI_STOK!$F:$F,"REJECT")</x:f>
        <x:v>0</x:v>
      </x:c>
      <x:c r="I51" s="8" t="n">
        <x:f>SUMIFS(TRANSAKSI_STOK!$G:$G,TRANSAKSI_STOK!$B:$B,$A51,TRANSAKSI_STOK!$F:$F,"EXPIRED")</x:f>
        <x:v>0</x:v>
      </x:c>
      <x:c r="J51" s="8" t="n">
        <x:f>E51+F51-G51-H51-I51</x:f>
        <x:v>0</x:v>
      </x:c>
      <x:c r="K51" s="8" t="str">
        <x:f>IF(J51&lt;=0,"HABIS",IF(J51&lt;=3,"MENIPIS","AMAN"))</x:f>
        <x:v>HABIS</x:v>
      </x:c>
    </x:row>
    <x:row r="52" ht="17.08984375" hidden="0" customHeight="1">
      <x:c r="A52" s="8" t="str">
        <x:v>PRD-051</x:v>
      </x:c>
      <x:c r="B52" s="8" t="str">
        <x:v>SUP-025</x:v>
      </x:c>
      <x:c r="C52" s="8" t="str">
        <x:v>KOES BAKERY</x:v>
      </x:c>
      <x:c r="D52" s="8" t="str">
        <x:v>ROTI ISI COKELAT</x:v>
      </x:c>
      <x:c r="E52" s="8" t="n">
        <x:f>SUMIFS(STOK_AWAL!$F:$F,STOK_AWAL!$B:$B,$A52)</x:f>
        <x:v>0</x:v>
      </x:c>
      <x:c r="F52" s="8" t="n">
        <x:f>SUMIFS(TRANSAKSI_STOK!$G:$G,TRANSAKSI_STOK!$B:$B,$A52,TRANSAKSI_STOK!$F:$F,"IN")</x:f>
        <x:v>0</x:v>
      </x:c>
      <x:c r="G52" s="8" t="n">
        <x:f>SUMIFS(TRANSAKSI_STOK!$G:$G,TRANSAKSI_STOK!$B:$B,$A52,TRANSAKSI_STOK!$F:$F,"OUT")</x:f>
        <x:v>0</x:v>
      </x:c>
      <x:c r="H52" s="8" t="n">
        <x:f>SUMIFS(TRANSAKSI_STOK!$G:$G,TRANSAKSI_STOK!$B:$B,$A52,TRANSAKSI_STOK!$F:$F,"REJECT")</x:f>
        <x:v>0</x:v>
      </x:c>
      <x:c r="I52" s="8" t="n">
        <x:f>SUMIFS(TRANSAKSI_STOK!$G:$G,TRANSAKSI_STOK!$B:$B,$A52,TRANSAKSI_STOK!$F:$F,"EXPIRED")</x:f>
        <x:v>0</x:v>
      </x:c>
      <x:c r="J52" s="8" t="n">
        <x:f>E52+F52-G52-H52-I52</x:f>
        <x:v>0</x:v>
      </x:c>
      <x:c r="K52" s="8" t="str">
        <x:f>IF(J52&lt;=0,"HABIS",IF(J52&lt;=3,"MENIPIS","AMAN"))</x:f>
        <x:v>HABIS</x:v>
      </x:c>
    </x:row>
    <x:row r="53" ht="17.08984375" hidden="0" customHeight="1">
      <x:c r="A53" s="8" t="str">
        <x:v>PRD-052</x:v>
      </x:c>
      <x:c r="B53" s="8" t="str">
        <x:v>SUP-025</x:v>
      </x:c>
      <x:c r="C53" s="8" t="str">
        <x:v>KOES BAKERY</x:v>
      </x:c>
      <x:c r="D53" s="8" t="str">
        <x:v>ROTI KELAPA</x:v>
      </x:c>
      <x:c r="E53" s="8" t="n">
        <x:f>SUMIFS(STOK_AWAL!$F:$F,STOK_AWAL!$B:$B,$A53)</x:f>
        <x:v>0</x:v>
      </x:c>
      <x:c r="F53" s="8" t="n">
        <x:f>SUMIFS(TRANSAKSI_STOK!$G:$G,TRANSAKSI_STOK!$B:$B,$A53,TRANSAKSI_STOK!$F:$F,"IN")</x:f>
        <x:v>0</x:v>
      </x:c>
      <x:c r="G53" s="8" t="n">
        <x:f>SUMIFS(TRANSAKSI_STOK!$G:$G,TRANSAKSI_STOK!$B:$B,$A53,TRANSAKSI_STOK!$F:$F,"OUT")</x:f>
        <x:v>0</x:v>
      </x:c>
      <x:c r="H53" s="8" t="n">
        <x:f>SUMIFS(TRANSAKSI_STOK!$G:$G,TRANSAKSI_STOK!$B:$B,$A53,TRANSAKSI_STOK!$F:$F,"REJECT")</x:f>
        <x:v>0</x:v>
      </x:c>
      <x:c r="I53" s="8" t="n">
        <x:f>SUMIFS(TRANSAKSI_STOK!$G:$G,TRANSAKSI_STOK!$B:$B,$A53,TRANSAKSI_STOK!$F:$F,"EXPIRED")</x:f>
        <x:v>0</x:v>
      </x:c>
      <x:c r="J53" s="8" t="n">
        <x:f>E53+F53-G53-H53-I53</x:f>
        <x:v>0</x:v>
      </x:c>
      <x:c r="K53" s="8" t="str">
        <x:f>IF(J53&lt;=0,"HABIS",IF(J53&lt;=3,"MENIPIS","AMAN"))</x:f>
        <x:v>HABIS</x:v>
      </x:c>
    </x:row>
    <x:row r="54" ht="17.08984375" hidden="0" customHeight="1">
      <x:c r="A54" s="8" t="str">
        <x:v>PRD-053</x:v>
      </x:c>
      <x:c r="B54" s="8" t="str">
        <x:v>SUP-025</x:v>
      </x:c>
      <x:c r="C54" s="8" t="str">
        <x:v>KOES BAKERY</x:v>
      </x:c>
      <x:c r="D54" s="8" t="str">
        <x:v>ROTI NANAS</x:v>
      </x:c>
      <x:c r="E54" s="8" t="n">
        <x:f>SUMIFS(STOK_AWAL!$F:$F,STOK_AWAL!$B:$B,$A54)</x:f>
        <x:v>0</x:v>
      </x:c>
      <x:c r="F54" s="8" t="n">
        <x:f>SUMIFS(TRANSAKSI_STOK!$G:$G,TRANSAKSI_STOK!$B:$B,$A54,TRANSAKSI_STOK!$F:$F,"IN")</x:f>
        <x:v>0</x:v>
      </x:c>
      <x:c r="G54" s="8" t="n">
        <x:f>SUMIFS(TRANSAKSI_STOK!$G:$G,TRANSAKSI_STOK!$B:$B,$A54,TRANSAKSI_STOK!$F:$F,"OUT")</x:f>
        <x:v>0</x:v>
      </x:c>
      <x:c r="H54" s="8" t="n">
        <x:f>SUMIFS(TRANSAKSI_STOK!$G:$G,TRANSAKSI_STOK!$B:$B,$A54,TRANSAKSI_STOK!$F:$F,"REJECT")</x:f>
        <x:v>0</x:v>
      </x:c>
      <x:c r="I54" s="8" t="n">
        <x:f>SUMIFS(TRANSAKSI_STOK!$G:$G,TRANSAKSI_STOK!$B:$B,$A54,TRANSAKSI_STOK!$F:$F,"EXPIRED")</x:f>
        <x:v>0</x:v>
      </x:c>
      <x:c r="J54" s="8" t="n">
        <x:f>E54+F54-G54-H54-I54</x:f>
        <x:v>0</x:v>
      </x:c>
      <x:c r="K54" s="8" t="str">
        <x:f>IF(J54&lt;=0,"HABIS",IF(J54&lt;=3,"MENIPIS","AMAN"))</x:f>
        <x:v>HABIS</x:v>
      </x:c>
    </x:row>
    <x:row r="55" ht="17.08984375" hidden="0" customHeight="1">
      <x:c r="A55" s="8" t="str">
        <x:v>PRD-054</x:v>
      </x:c>
      <x:c r="B55" s="8" t="str">
        <x:v>SUP-025</x:v>
      </x:c>
      <x:c r="C55" s="8" t="str">
        <x:v>KOES BAKERY</x:v>
      </x:c>
      <x:c r="D55" s="8" t="str">
        <x:v>ROTI SRIKAYA</x:v>
      </x:c>
      <x:c r="E55" s="8" t="n">
        <x:f>SUMIFS(STOK_AWAL!$F:$F,STOK_AWAL!$B:$B,$A55)</x:f>
        <x:v>0</x:v>
      </x:c>
      <x:c r="F55" s="8" t="n">
        <x:f>SUMIFS(TRANSAKSI_STOK!$G:$G,TRANSAKSI_STOK!$B:$B,$A55,TRANSAKSI_STOK!$F:$F,"IN")</x:f>
        <x:v>0</x:v>
      </x:c>
      <x:c r="G55" s="8" t="n">
        <x:f>SUMIFS(TRANSAKSI_STOK!$G:$G,TRANSAKSI_STOK!$B:$B,$A55,TRANSAKSI_STOK!$F:$F,"OUT")</x:f>
        <x:v>0</x:v>
      </x:c>
      <x:c r="H55" s="8" t="n">
        <x:f>SUMIFS(TRANSAKSI_STOK!$G:$G,TRANSAKSI_STOK!$B:$B,$A55,TRANSAKSI_STOK!$F:$F,"REJECT")</x:f>
        <x:v>0</x:v>
      </x:c>
      <x:c r="I55" s="8" t="n">
        <x:f>SUMIFS(TRANSAKSI_STOK!$G:$G,TRANSAKSI_STOK!$B:$B,$A55,TRANSAKSI_STOK!$F:$F,"EXPIRED")</x:f>
        <x:v>0</x:v>
      </x:c>
      <x:c r="J55" s="8" t="n">
        <x:f>E55+F55-G55-H55-I55</x:f>
        <x:v>0</x:v>
      </x:c>
      <x:c r="K55" s="8" t="str">
        <x:f>IF(J55&lt;=0,"HABIS",IF(J55&lt;=3,"MENIPIS","AMAN"))</x:f>
        <x:v>HABIS</x:v>
      </x:c>
    </x:row>
    <x:row r="56" ht="17.08984375" hidden="0" customHeight="1">
      <x:c r="A56" s="8" t="str">
        <x:v>PRD-055</x:v>
      </x:c>
      <x:c r="B56" s="8" t="str">
        <x:v>SUP-025</x:v>
      </x:c>
      <x:c r="C56" s="8" t="str">
        <x:v>KOES BAKERY</x:v>
      </x:c>
      <x:c r="D56" s="8" t="str">
        <x:v>ROTI KACANG HIJAU PANDAN</x:v>
      </x:c>
      <x:c r="E56" s="8" t="n">
        <x:f>SUMIFS(STOK_AWAL!$F:$F,STOK_AWAL!$B:$B,$A56)</x:f>
        <x:v>0</x:v>
      </x:c>
      <x:c r="F56" s="8" t="n">
        <x:f>SUMIFS(TRANSAKSI_STOK!$G:$G,TRANSAKSI_STOK!$B:$B,$A56,TRANSAKSI_STOK!$F:$F,"IN")</x:f>
        <x:v>0</x:v>
      </x:c>
      <x:c r="G56" s="8" t="n">
        <x:f>SUMIFS(TRANSAKSI_STOK!$G:$G,TRANSAKSI_STOK!$B:$B,$A56,TRANSAKSI_STOK!$F:$F,"OUT")</x:f>
        <x:v>0</x:v>
      </x:c>
      <x:c r="H56" s="8" t="n">
        <x:f>SUMIFS(TRANSAKSI_STOK!$G:$G,TRANSAKSI_STOK!$B:$B,$A56,TRANSAKSI_STOK!$F:$F,"REJECT")</x:f>
        <x:v>0</x:v>
      </x:c>
      <x:c r="I56" s="8" t="n">
        <x:f>SUMIFS(TRANSAKSI_STOK!$G:$G,TRANSAKSI_STOK!$B:$B,$A56,TRANSAKSI_STOK!$F:$F,"EXPIRED")</x:f>
        <x:v>0</x:v>
      </x:c>
      <x:c r="J56" s="8" t="n">
        <x:f>E56+F56-G56-H56-I56</x:f>
        <x:v>0</x:v>
      </x:c>
      <x:c r="K56" s="8" t="str">
        <x:f>IF(J56&lt;=0,"HABIS",IF(J56&lt;=3,"MENIPIS","AMAN"))</x:f>
        <x:v>HABIS</x:v>
      </x:c>
    </x:row>
    <x:row r="57" ht="17.08984375" hidden="0" customHeight="1">
      <x:c r="A57" s="8" t="str">
        <x:v>PRD-056</x:v>
      </x:c>
      <x:c r="B57" s="8" t="str">
        <x:v>SUP-025</x:v>
      </x:c>
      <x:c r="C57" s="8" t="str">
        <x:v>KOES BAKERY</x:v>
      </x:c>
      <x:c r="D57" s="8" t="str">
        <x:v>ROTI STRAWBERRY</x:v>
      </x:c>
      <x:c r="E57" s="8" t="n">
        <x:f>SUMIFS(STOK_AWAL!$F:$F,STOK_AWAL!$B:$B,$A57)</x:f>
        <x:v>0</x:v>
      </x:c>
      <x:c r="F57" s="8" t="n">
        <x:f>SUMIFS(TRANSAKSI_STOK!$G:$G,TRANSAKSI_STOK!$B:$B,$A57,TRANSAKSI_STOK!$F:$F,"IN")</x:f>
        <x:v>0</x:v>
      </x:c>
      <x:c r="G57" s="8" t="n">
        <x:f>SUMIFS(TRANSAKSI_STOK!$G:$G,TRANSAKSI_STOK!$B:$B,$A57,TRANSAKSI_STOK!$F:$F,"OUT")</x:f>
        <x:v>0</x:v>
      </x:c>
      <x:c r="H57" s="8" t="n">
        <x:f>SUMIFS(TRANSAKSI_STOK!$G:$G,TRANSAKSI_STOK!$B:$B,$A57,TRANSAKSI_STOK!$F:$F,"REJECT")</x:f>
        <x:v>0</x:v>
      </x:c>
      <x:c r="I57" s="8" t="n">
        <x:f>SUMIFS(TRANSAKSI_STOK!$G:$G,TRANSAKSI_STOK!$B:$B,$A57,TRANSAKSI_STOK!$F:$F,"EXPIRED")</x:f>
        <x:v>0</x:v>
      </x:c>
      <x:c r="J57" s="8" t="n">
        <x:f>E57+F57-G57-H57-I57</x:f>
        <x:v>0</x:v>
      </x:c>
      <x:c r="K57" s="8" t="str">
        <x:f>IF(J57&lt;=0,"HABIS",IF(J57&lt;=3,"MENIPIS","AMAN"))</x:f>
        <x:v>HABIS</x:v>
      </x:c>
    </x:row>
    <x:row r="58" ht="17.08984375" hidden="0" customHeight="1">
      <x:c r="A58" s="8" t="str">
        <x:v>PRD-057</x:v>
      </x:c>
      <x:c r="B58" s="8" t="str">
        <x:v>SUP-025</x:v>
      </x:c>
      <x:c r="C58" s="8" t="str">
        <x:v>KOES BAKERY</x:v>
      </x:c>
      <x:c r="D58" s="8" t="str">
        <x:v>ROTI TOPPING COKELAT</x:v>
      </x:c>
      <x:c r="E58" s="8" t="n">
        <x:f>SUMIFS(STOK_AWAL!$F:$F,STOK_AWAL!$B:$B,$A58)</x:f>
        <x:v>0</x:v>
      </x:c>
      <x:c r="F58" s="8" t="n">
        <x:f>SUMIFS(TRANSAKSI_STOK!$G:$G,TRANSAKSI_STOK!$B:$B,$A58,TRANSAKSI_STOK!$F:$F,"IN")</x:f>
        <x:v>0</x:v>
      </x:c>
      <x:c r="G58" s="8" t="n">
        <x:f>SUMIFS(TRANSAKSI_STOK!$G:$G,TRANSAKSI_STOK!$B:$B,$A58,TRANSAKSI_STOK!$F:$F,"OUT")</x:f>
        <x:v>0</x:v>
      </x:c>
      <x:c r="H58" s="8" t="n">
        <x:f>SUMIFS(TRANSAKSI_STOK!$G:$G,TRANSAKSI_STOK!$B:$B,$A58,TRANSAKSI_STOK!$F:$F,"REJECT")</x:f>
        <x:v>0</x:v>
      </x:c>
      <x:c r="I58" s="8" t="n">
        <x:f>SUMIFS(TRANSAKSI_STOK!$G:$G,TRANSAKSI_STOK!$B:$B,$A58,TRANSAKSI_STOK!$F:$F,"EXPIRED")</x:f>
        <x:v>0</x:v>
      </x:c>
      <x:c r="J58" s="8" t="n">
        <x:f>E58+F58-G58-H58-I58</x:f>
        <x:v>0</x:v>
      </x:c>
      <x:c r="K58" s="8" t="str">
        <x:f>IF(J58&lt;=0,"HABIS",IF(J58&lt;=3,"MENIPIS","AMAN"))</x:f>
        <x:v>HABIS</x:v>
      </x:c>
    </x:row>
    <x:row r="59" ht="17.08984375" hidden="0" customHeight="1">
      <x:c r="A59" s="8" t="str">
        <x:v>PRD-058</x:v>
      </x:c>
      <x:c r="B59" s="8" t="str">
        <x:v>SUP-025</x:v>
      </x:c>
      <x:c r="C59" s="8" t="str">
        <x:v>KOES BAKERY</x:v>
      </x:c>
      <x:c r="D59" s="8" t="str">
        <x:v>ROTI KEJU BUTTER</x:v>
      </x:c>
      <x:c r="E59" s="8" t="n">
        <x:f>SUMIFS(STOK_AWAL!$F:$F,STOK_AWAL!$B:$B,$A59)</x:f>
        <x:v>0</x:v>
      </x:c>
      <x:c r="F59" s="8" t="n">
        <x:f>SUMIFS(TRANSAKSI_STOK!$G:$G,TRANSAKSI_STOK!$B:$B,$A59,TRANSAKSI_STOK!$F:$F,"IN")</x:f>
        <x:v>0</x:v>
      </x:c>
      <x:c r="G59" s="8" t="n">
        <x:f>SUMIFS(TRANSAKSI_STOK!$G:$G,TRANSAKSI_STOK!$B:$B,$A59,TRANSAKSI_STOK!$F:$F,"OUT")</x:f>
        <x:v>0</x:v>
      </x:c>
      <x:c r="H59" s="8" t="n">
        <x:f>SUMIFS(TRANSAKSI_STOK!$G:$G,TRANSAKSI_STOK!$B:$B,$A59,TRANSAKSI_STOK!$F:$F,"REJECT")</x:f>
        <x:v>0</x:v>
      </x:c>
      <x:c r="I59" s="8" t="n">
        <x:f>SUMIFS(TRANSAKSI_STOK!$G:$G,TRANSAKSI_STOK!$B:$B,$A59,TRANSAKSI_STOK!$F:$F,"EXPIRED")</x:f>
        <x:v>0</x:v>
      </x:c>
      <x:c r="J59" s="8" t="n">
        <x:f>E59+F59-G59-H59-I59</x:f>
        <x:v>0</x:v>
      </x:c>
      <x:c r="K59" s="8" t="str">
        <x:f>IF(J59&lt;=0,"HABIS",IF(J59&lt;=3,"MENIPIS","AMAN"))</x:f>
        <x:v>HABIS</x:v>
      </x:c>
    </x:row>
    <x:row r="60" ht="17.08984375" hidden="0" customHeight="1">
      <x:c r="A60" s="8" t="str">
        <x:v>PRD-059</x:v>
      </x:c>
      <x:c r="B60" s="8" t="str">
        <x:v>SUP-025</x:v>
      </x:c>
      <x:c r="C60" s="8" t="str">
        <x:v>KOES BAKERY</x:v>
      </x:c>
      <x:c r="D60" s="8" t="str">
        <x:v>ROTI COKELAT MOKA</x:v>
      </x:c>
      <x:c r="E60" s="8" t="n">
        <x:f>SUMIFS(STOK_AWAL!$F:$F,STOK_AWAL!$B:$B,$A60)</x:f>
        <x:v>0</x:v>
      </x:c>
      <x:c r="F60" s="8" t="n">
        <x:f>SUMIFS(TRANSAKSI_STOK!$G:$G,TRANSAKSI_STOK!$B:$B,$A60,TRANSAKSI_STOK!$F:$F,"IN")</x:f>
        <x:v>0</x:v>
      </x:c>
      <x:c r="G60" s="8" t="n">
        <x:f>SUMIFS(TRANSAKSI_STOK!$G:$G,TRANSAKSI_STOK!$B:$B,$A60,TRANSAKSI_STOK!$F:$F,"OUT")</x:f>
        <x:v>0</x:v>
      </x:c>
      <x:c r="H60" s="8" t="n">
        <x:f>SUMIFS(TRANSAKSI_STOK!$G:$G,TRANSAKSI_STOK!$B:$B,$A60,TRANSAKSI_STOK!$F:$F,"REJECT")</x:f>
        <x:v>0</x:v>
      </x:c>
      <x:c r="I60" s="8" t="n">
        <x:f>SUMIFS(TRANSAKSI_STOK!$G:$G,TRANSAKSI_STOK!$B:$B,$A60,TRANSAKSI_STOK!$F:$F,"EXPIRED")</x:f>
        <x:v>0</x:v>
      </x:c>
      <x:c r="J60" s="8" t="n">
        <x:f>E60+F60-G60-H60-I60</x:f>
        <x:v>0</x:v>
      </x:c>
      <x:c r="K60" s="8" t="str">
        <x:f>IF(J60&lt;=0,"HABIS",IF(J60&lt;=3,"MENIPIS","AMAN"))</x:f>
        <x:v>HABIS</x:v>
      </x:c>
    </x:row>
    <x:row r="61" ht="17.08984375" hidden="0" customHeight="1">
      <x:c r="A61" s="8" t="str">
        <x:v>PRD-060</x:v>
      </x:c>
      <x:c r="B61" s="8" t="str">
        <x:v>SUP-025</x:v>
      </x:c>
      <x:c r="C61" s="8" t="str">
        <x:v>KOES BAKERY</x:v>
      </x:c>
      <x:c r="D61" s="8" t="str">
        <x:v>ROTI KOPI BUTTER</x:v>
      </x:c>
      <x:c r="E61" s="8" t="n">
        <x:f>SUMIFS(STOK_AWAL!$F:$F,STOK_AWAL!$B:$B,$A61)</x:f>
        <x:v>0</x:v>
      </x:c>
      <x:c r="F61" s="8" t="n">
        <x:f>SUMIFS(TRANSAKSI_STOK!$G:$G,TRANSAKSI_STOK!$B:$B,$A61,TRANSAKSI_STOK!$F:$F,"IN")</x:f>
        <x:v>0</x:v>
      </x:c>
      <x:c r="G61" s="8" t="n">
        <x:f>SUMIFS(TRANSAKSI_STOK!$G:$G,TRANSAKSI_STOK!$B:$B,$A61,TRANSAKSI_STOK!$F:$F,"OUT")</x:f>
        <x:v>0</x:v>
      </x:c>
      <x:c r="H61" s="8" t="n">
        <x:f>SUMIFS(TRANSAKSI_STOK!$G:$G,TRANSAKSI_STOK!$B:$B,$A61,TRANSAKSI_STOK!$F:$F,"REJECT")</x:f>
        <x:v>0</x:v>
      </x:c>
      <x:c r="I61" s="8" t="n">
        <x:f>SUMIFS(TRANSAKSI_STOK!$G:$G,TRANSAKSI_STOK!$B:$B,$A61,TRANSAKSI_STOK!$F:$F,"EXPIRED")</x:f>
        <x:v>0</x:v>
      </x:c>
      <x:c r="J61" s="8" t="n">
        <x:f>E61+F61-G61-H61-I61</x:f>
        <x:v>0</x:v>
      </x:c>
      <x:c r="K61" s="8" t="str">
        <x:f>IF(J61&lt;=0,"HABIS",IF(J61&lt;=3,"MENIPIS","AMAN"))</x:f>
        <x:v>HABIS</x:v>
      </x:c>
    </x:row>
    <x:row r="62" ht="17.08984375" hidden="0" customHeight="1">
      <x:c r="A62" s="8" t="str">
        <x:v>PRD-061</x:v>
      </x:c>
      <x:c r="B62" s="8" t="str">
        <x:v>SUP-025</x:v>
      </x:c>
      <x:c r="C62" s="8" t="str">
        <x:v>KOES BAKERY</x:v>
      </x:c>
      <x:c r="D62" s="8" t="str">
        <x:v>ROTI KEJU CHEDDAR</x:v>
      </x:c>
      <x:c r="E62" s="8" t="n">
        <x:f>SUMIFS(STOK_AWAL!$F:$F,STOK_AWAL!$B:$B,$A62)</x:f>
        <x:v>0</x:v>
      </x:c>
      <x:c r="F62" s="8" t="n">
        <x:f>SUMIFS(TRANSAKSI_STOK!$G:$G,TRANSAKSI_STOK!$B:$B,$A62,TRANSAKSI_STOK!$F:$F,"IN")</x:f>
        <x:v>0</x:v>
      </x:c>
      <x:c r="G62" s="8" t="n">
        <x:f>SUMIFS(TRANSAKSI_STOK!$G:$G,TRANSAKSI_STOK!$B:$B,$A62,TRANSAKSI_STOK!$F:$F,"OUT")</x:f>
        <x:v>0</x:v>
      </x:c>
      <x:c r="H62" s="8" t="n">
        <x:f>SUMIFS(TRANSAKSI_STOK!$G:$G,TRANSAKSI_STOK!$B:$B,$A62,TRANSAKSI_STOK!$F:$F,"REJECT")</x:f>
        <x:v>0</x:v>
      </x:c>
      <x:c r="I62" s="8" t="n">
        <x:f>SUMIFS(TRANSAKSI_STOK!$G:$G,TRANSAKSI_STOK!$B:$B,$A62,TRANSAKSI_STOK!$F:$F,"EXPIRED")</x:f>
        <x:v>0</x:v>
      </x:c>
      <x:c r="J62" s="8" t="n">
        <x:f>E62+F62-G62-H62-I62</x:f>
        <x:v>0</x:v>
      </x:c>
      <x:c r="K62" s="8" t="str">
        <x:f>IF(J62&lt;=0,"HABIS",IF(J62&lt;=3,"MENIPIS","AMAN"))</x:f>
        <x:v>HABIS</x:v>
      </x:c>
    </x:row>
    <x:row r="63" ht="17.08984375" hidden="0" customHeight="1">
      <x:c r="A63" s="8" t="str">
        <x:v>PRD-062</x:v>
      </x:c>
      <x:c r="B63" s="8" t="str">
        <x:v>SUP-025</x:v>
      </x:c>
      <x:c r="C63" s="8" t="str">
        <x:v>KOES BAKERY</x:v>
      </x:c>
      <x:c r="D63" s="8" t="str">
        <x:v>ROTI SUSU</x:v>
      </x:c>
      <x:c r="E63" s="8" t="n">
        <x:f>SUMIFS(STOK_AWAL!$F:$F,STOK_AWAL!$B:$B,$A63)</x:f>
        <x:v>0</x:v>
      </x:c>
      <x:c r="F63" s="8" t="n">
        <x:f>SUMIFS(TRANSAKSI_STOK!$G:$G,TRANSAKSI_STOK!$B:$B,$A63,TRANSAKSI_STOK!$F:$F,"IN")</x:f>
        <x:v>0</x:v>
      </x:c>
      <x:c r="G63" s="8" t="n">
        <x:f>SUMIFS(TRANSAKSI_STOK!$G:$G,TRANSAKSI_STOK!$B:$B,$A63,TRANSAKSI_STOK!$F:$F,"OUT")</x:f>
        <x:v>0</x:v>
      </x:c>
      <x:c r="H63" s="8" t="n">
        <x:f>SUMIFS(TRANSAKSI_STOK!$G:$G,TRANSAKSI_STOK!$B:$B,$A63,TRANSAKSI_STOK!$F:$F,"REJECT")</x:f>
        <x:v>0</x:v>
      </x:c>
      <x:c r="I63" s="8" t="n">
        <x:f>SUMIFS(TRANSAKSI_STOK!$G:$G,TRANSAKSI_STOK!$B:$B,$A63,TRANSAKSI_STOK!$F:$F,"EXPIRED")</x:f>
        <x:v>0</x:v>
      </x:c>
      <x:c r="J63" s="8" t="n">
        <x:f>E63+F63-G63-H63-I63</x:f>
        <x:v>0</x:v>
      </x:c>
      <x:c r="K63" s="8" t="str">
        <x:f>IF(J63&lt;=0,"HABIS",IF(J63&lt;=3,"MENIPIS","AMAN"))</x:f>
        <x:v>HABIS</x:v>
      </x:c>
    </x:row>
    <x:row r="64" ht="17.08984375" hidden="0" customHeight="1">
      <x:c r="A64" s="8" t="str">
        <x:v>PRD-063</x:v>
      </x:c>
      <x:c r="B64" s="8" t="str">
        <x:v>SUP-025</x:v>
      </x:c>
      <x:c r="C64" s="8" t="str">
        <x:v>KOES BAKERY</x:v>
      </x:c>
      <x:c r="D64" s="8" t="str">
        <x:v>ROTI PIZZA</x:v>
      </x:c>
      <x:c r="E64" s="8" t="n">
        <x:f>SUMIFS(STOK_AWAL!$F:$F,STOK_AWAL!$B:$B,$A64)</x:f>
        <x:v>0</x:v>
      </x:c>
      <x:c r="F64" s="8" t="n">
        <x:f>SUMIFS(TRANSAKSI_STOK!$G:$G,TRANSAKSI_STOK!$B:$B,$A64,TRANSAKSI_STOK!$F:$F,"IN")</x:f>
        <x:v>0</x:v>
      </x:c>
      <x:c r="G64" s="8" t="n">
        <x:f>SUMIFS(TRANSAKSI_STOK!$G:$G,TRANSAKSI_STOK!$B:$B,$A64,TRANSAKSI_STOK!$F:$F,"OUT")</x:f>
        <x:v>0</x:v>
      </x:c>
      <x:c r="H64" s="8" t="n">
        <x:f>SUMIFS(TRANSAKSI_STOK!$G:$G,TRANSAKSI_STOK!$B:$B,$A64,TRANSAKSI_STOK!$F:$F,"REJECT")</x:f>
        <x:v>0</x:v>
      </x:c>
      <x:c r="I64" s="8" t="n">
        <x:f>SUMIFS(TRANSAKSI_STOK!$G:$G,TRANSAKSI_STOK!$B:$B,$A64,TRANSAKSI_STOK!$F:$F,"EXPIRED")</x:f>
        <x:v>0</x:v>
      </x:c>
      <x:c r="J64" s="8" t="n">
        <x:f>E64+F64-G64-H64-I64</x:f>
        <x:v>0</x:v>
      </x:c>
      <x:c r="K64" s="8" t="str">
        <x:f>IF(J64&lt;=0,"HABIS",IF(J64&lt;=3,"MENIPIS","AMAN"))</x:f>
        <x:v>HABIS</x:v>
      </x:c>
    </x:row>
    <x:row r="65" ht="17.08984375" hidden="0" customHeight="1">
      <x:c r="A65" s="8" t="str">
        <x:v>PRD-064</x:v>
      </x:c>
      <x:c r="B65" s="8" t="str">
        <x:v>SUP-025</x:v>
      </x:c>
      <x:c r="C65" s="8" t="str">
        <x:v>KOES BAKERY</x:v>
      </x:c>
      <x:c r="D65" s="8" t="str">
        <x:v>ROTI ABON</x:v>
      </x:c>
      <x:c r="E65" s="8" t="n">
        <x:f>SUMIFS(STOK_AWAL!$F:$F,STOK_AWAL!$B:$B,$A65)</x:f>
        <x:v>0</x:v>
      </x:c>
      <x:c r="F65" s="8" t="n">
        <x:f>SUMIFS(TRANSAKSI_STOK!$G:$G,TRANSAKSI_STOK!$B:$B,$A65,TRANSAKSI_STOK!$F:$F,"IN")</x:f>
        <x:v>0</x:v>
      </x:c>
      <x:c r="G65" s="8" t="n">
        <x:f>SUMIFS(TRANSAKSI_STOK!$G:$G,TRANSAKSI_STOK!$B:$B,$A65,TRANSAKSI_STOK!$F:$F,"OUT")</x:f>
        <x:v>0</x:v>
      </x:c>
      <x:c r="H65" s="8" t="n">
        <x:f>SUMIFS(TRANSAKSI_STOK!$G:$G,TRANSAKSI_STOK!$B:$B,$A65,TRANSAKSI_STOK!$F:$F,"REJECT")</x:f>
        <x:v>0</x:v>
      </x:c>
      <x:c r="I65" s="8" t="n">
        <x:f>SUMIFS(TRANSAKSI_STOK!$G:$G,TRANSAKSI_STOK!$B:$B,$A65,TRANSAKSI_STOK!$F:$F,"EXPIRED")</x:f>
        <x:v>0</x:v>
      </x:c>
      <x:c r="J65" s="8" t="n">
        <x:f>E65+F65-G65-H65-I65</x:f>
        <x:v>0</x:v>
      </x:c>
      <x:c r="K65" s="8" t="str">
        <x:f>IF(J65&lt;=0,"HABIS",IF(J65&lt;=3,"MENIPIS","AMAN"))</x:f>
        <x:v>HABIS</x:v>
      </x:c>
    </x:row>
    <x:row r="66" ht="17.08984375" hidden="0" customHeight="1">
      <x:c r="A66" s="8" t="str">
        <x:v>PRD-065</x:v>
      </x:c>
      <x:c r="B66" s="8" t="str">
        <x:v>SUP-025</x:v>
      </x:c>
      <x:c r="C66" s="8" t="str">
        <x:v>KOES BAKERY</x:v>
      </x:c>
      <x:c r="D66" s="8" t="str">
        <x:v>ROTI PISANG COKELAT</x:v>
      </x:c>
      <x:c r="E66" s="8" t="n">
        <x:f>SUMIFS(STOK_AWAL!$F:$F,STOK_AWAL!$B:$B,$A66)</x:f>
        <x:v>0</x:v>
      </x:c>
      <x:c r="F66" s="8" t="n">
        <x:f>SUMIFS(TRANSAKSI_STOK!$G:$G,TRANSAKSI_STOK!$B:$B,$A66,TRANSAKSI_STOK!$F:$F,"IN")</x:f>
        <x:v>0</x:v>
      </x:c>
      <x:c r="G66" s="8" t="n">
        <x:f>SUMIFS(TRANSAKSI_STOK!$G:$G,TRANSAKSI_STOK!$B:$B,$A66,TRANSAKSI_STOK!$F:$F,"OUT")</x:f>
        <x:v>0</x:v>
      </x:c>
      <x:c r="H66" s="8" t="n">
        <x:f>SUMIFS(TRANSAKSI_STOK!$G:$G,TRANSAKSI_STOK!$B:$B,$A66,TRANSAKSI_STOK!$F:$F,"REJECT")</x:f>
        <x:v>0</x:v>
      </x:c>
      <x:c r="I66" s="8" t="n">
        <x:f>SUMIFS(TRANSAKSI_STOK!$G:$G,TRANSAKSI_STOK!$B:$B,$A66,TRANSAKSI_STOK!$F:$F,"EXPIRED")</x:f>
        <x:v>0</x:v>
      </x:c>
      <x:c r="J66" s="8" t="n">
        <x:f>E66+F66-G66-H66-I66</x:f>
        <x:v>0</x:v>
      </x:c>
      <x:c r="K66" s="8" t="str">
        <x:f>IF(J66&lt;=0,"HABIS",IF(J66&lt;=3,"MENIPIS","AMAN"))</x:f>
        <x:v>HABIS</x:v>
      </x:c>
    </x:row>
    <x:row r="67" ht="17.08984375" hidden="0" customHeight="1">
      <x:c r="A67" s="8" t="str">
        <x:v>PRD-066</x:v>
      </x:c>
      <x:c r="B67" s="8" t="str">
        <x:v>SUP-025</x:v>
      </x:c>
      <x:c r="C67" s="8" t="str">
        <x:v>KOES BAKERY</x:v>
      </x:c>
      <x:c r="D67" s="8" t="str">
        <x:v>MUFFIN BANANA</x:v>
      </x:c>
      <x:c r="E67" s="8" t="n">
        <x:f>SUMIFS(STOK_AWAL!$F:$F,STOK_AWAL!$B:$B,$A67)</x:f>
        <x:v>0</x:v>
      </x:c>
      <x:c r="F67" s="8" t="n">
        <x:f>SUMIFS(TRANSAKSI_STOK!$G:$G,TRANSAKSI_STOK!$B:$B,$A67,TRANSAKSI_STOK!$F:$F,"IN")</x:f>
        <x:v>0</x:v>
      </x:c>
      <x:c r="G67" s="8" t="n">
        <x:f>SUMIFS(TRANSAKSI_STOK!$G:$G,TRANSAKSI_STOK!$B:$B,$A67,TRANSAKSI_STOK!$F:$F,"OUT")</x:f>
        <x:v>0</x:v>
      </x:c>
      <x:c r="H67" s="8" t="n">
        <x:f>SUMIFS(TRANSAKSI_STOK!$G:$G,TRANSAKSI_STOK!$B:$B,$A67,TRANSAKSI_STOK!$F:$F,"REJECT")</x:f>
        <x:v>0</x:v>
      </x:c>
      <x:c r="I67" s="8" t="n">
        <x:f>SUMIFS(TRANSAKSI_STOK!$G:$G,TRANSAKSI_STOK!$B:$B,$A67,TRANSAKSI_STOK!$F:$F,"EXPIRED")</x:f>
        <x:v>0</x:v>
      </x:c>
      <x:c r="J67" s="8" t="n">
        <x:f>E67+F67-G67-H67-I67</x:f>
        <x:v>0</x:v>
      </x:c>
      <x:c r="K67" s="8" t="str">
        <x:f>IF(J67&lt;=0,"HABIS",IF(J67&lt;=3,"MENIPIS","AMAN"))</x:f>
        <x:v>HABIS</x:v>
      </x:c>
    </x:row>
    <x:row r="68" ht="17.08984375" hidden="0" customHeight="1">
      <x:c r="A68" s="8" t="str">
        <x:v>PRD-067</x:v>
      </x:c>
      <x:c r="B68" s="8" t="str">
        <x:v>SUP-025</x:v>
      </x:c>
      <x:c r="C68" s="8" t="str">
        <x:v>KOES BAKERY</x:v>
      </x:c>
      <x:c r="D68" s="8" t="str">
        <x:v>MUFFIN KEJU</x:v>
      </x:c>
      <x:c r="E68" s="8" t="n">
        <x:f>SUMIFS(STOK_AWAL!$F:$F,STOK_AWAL!$B:$B,$A68)</x:f>
        <x:v>0</x:v>
      </x:c>
      <x:c r="F68" s="8" t="n">
        <x:f>SUMIFS(TRANSAKSI_STOK!$G:$G,TRANSAKSI_STOK!$B:$B,$A68,TRANSAKSI_STOK!$F:$F,"IN")</x:f>
        <x:v>0</x:v>
      </x:c>
      <x:c r="G68" s="8" t="n">
        <x:f>SUMIFS(TRANSAKSI_STOK!$G:$G,TRANSAKSI_STOK!$B:$B,$A68,TRANSAKSI_STOK!$F:$F,"OUT")</x:f>
        <x:v>0</x:v>
      </x:c>
      <x:c r="H68" s="8" t="n">
        <x:f>SUMIFS(TRANSAKSI_STOK!$G:$G,TRANSAKSI_STOK!$B:$B,$A68,TRANSAKSI_STOK!$F:$F,"REJECT")</x:f>
        <x:v>0</x:v>
      </x:c>
      <x:c r="I68" s="8" t="n">
        <x:f>SUMIFS(TRANSAKSI_STOK!$G:$G,TRANSAKSI_STOK!$B:$B,$A68,TRANSAKSI_STOK!$F:$F,"EXPIRED")</x:f>
        <x:v>0</x:v>
      </x:c>
      <x:c r="J68" s="8" t="n">
        <x:f>E68+F68-G68-H68-I68</x:f>
        <x:v>0</x:v>
      </x:c>
      <x:c r="K68" s="8" t="str">
        <x:f>IF(J68&lt;=0,"HABIS",IF(J68&lt;=3,"MENIPIS","AMAN"))</x:f>
        <x:v>HABIS</x:v>
      </x:c>
    </x:row>
    <x:row r="69" ht="17.08984375" hidden="0" customHeight="1">
      <x:c r="A69" s="8" t="str">
        <x:v>PRD-068</x:v>
      </x:c>
      <x:c r="B69" s="8" t="str">
        <x:v>SUP-025</x:v>
      </x:c>
      <x:c r="C69" s="8" t="str">
        <x:v>KOES BAKERY</x:v>
      </x:c>
      <x:c r="D69" s="8" t="str">
        <x:v>BROWNIES PANGGANG / KUKUS</x:v>
      </x:c>
      <x:c r="E69" s="8" t="n">
        <x:f>SUMIFS(STOK_AWAL!$F:$F,STOK_AWAL!$B:$B,$A69)</x:f>
        <x:v>0</x:v>
      </x:c>
      <x:c r="F69" s="8" t="n">
        <x:f>SUMIFS(TRANSAKSI_STOK!$G:$G,TRANSAKSI_STOK!$B:$B,$A69,TRANSAKSI_STOK!$F:$F,"IN")</x:f>
        <x:v>0</x:v>
      </x:c>
      <x:c r="G69" s="8" t="n">
        <x:f>SUMIFS(TRANSAKSI_STOK!$G:$G,TRANSAKSI_STOK!$B:$B,$A69,TRANSAKSI_STOK!$F:$F,"OUT")</x:f>
        <x:v>0</x:v>
      </x:c>
      <x:c r="H69" s="8" t="n">
        <x:f>SUMIFS(TRANSAKSI_STOK!$G:$G,TRANSAKSI_STOK!$B:$B,$A69,TRANSAKSI_STOK!$F:$F,"REJECT")</x:f>
        <x:v>0</x:v>
      </x:c>
      <x:c r="I69" s="8" t="n">
        <x:f>SUMIFS(TRANSAKSI_STOK!$G:$G,TRANSAKSI_STOK!$B:$B,$A69,TRANSAKSI_STOK!$F:$F,"EXPIRED")</x:f>
        <x:v>0</x:v>
      </x:c>
      <x:c r="J69" s="8" t="n">
        <x:f>E69+F69-G69-H69-I69</x:f>
        <x:v>0</x:v>
      </x:c>
      <x:c r="K69" s="8" t="str">
        <x:f>IF(J69&lt;=0,"HABIS",IF(J69&lt;=3,"MENIPIS","AMAN"))</x:f>
        <x:v>HABIS</x:v>
      </x:c>
    </x:row>
    <x:row r="70" ht="17.08984375" hidden="0" customHeight="1">
      <x:c r="A70" s="8" t="str">
        <x:v>PRD-069</x:v>
      </x:c>
      <x:c r="B70" s="8" t="str">
        <x:v>SUP-025</x:v>
      </x:c>
      <x:c r="C70" s="8" t="str">
        <x:v>KOES BAKERY</x:v>
      </x:c>
      <x:c r="D70" s="8" t="str">
        <x:v>CHIFFON BOLU</x:v>
      </x:c>
      <x:c r="E70" s="8" t="n">
        <x:f>SUMIFS(STOK_AWAL!$F:$F,STOK_AWAL!$B:$B,$A70)</x:f>
        <x:v>0</x:v>
      </x:c>
      <x:c r="F70" s="8" t="n">
        <x:f>SUMIFS(TRANSAKSI_STOK!$G:$G,TRANSAKSI_STOK!$B:$B,$A70,TRANSAKSI_STOK!$F:$F,"IN")</x:f>
        <x:v>0</x:v>
      </x:c>
      <x:c r="G70" s="8" t="n">
        <x:f>SUMIFS(TRANSAKSI_STOK!$G:$G,TRANSAKSI_STOK!$B:$B,$A70,TRANSAKSI_STOK!$F:$F,"OUT")</x:f>
        <x:v>0</x:v>
      </x:c>
      <x:c r="H70" s="8" t="n">
        <x:f>SUMIFS(TRANSAKSI_STOK!$G:$G,TRANSAKSI_STOK!$B:$B,$A70,TRANSAKSI_STOK!$F:$F,"REJECT")</x:f>
        <x:v>0</x:v>
      </x:c>
      <x:c r="I70" s="8" t="n">
        <x:f>SUMIFS(TRANSAKSI_STOK!$G:$G,TRANSAKSI_STOK!$B:$B,$A70,TRANSAKSI_STOK!$F:$F,"EXPIRED")</x:f>
        <x:v>0</x:v>
      </x:c>
      <x:c r="J70" s="8" t="n">
        <x:f>E70+F70-G70-H70-I70</x:f>
        <x:v>0</x:v>
      </x:c>
      <x:c r="K70" s="8" t="str">
        <x:f>IF(J70&lt;=0,"HABIS",IF(J70&lt;=3,"MENIPIS","AMAN"))</x:f>
        <x:v>HABIS</x:v>
      </x:c>
    </x:row>
    <x:row r="71" ht="17.08984375" hidden="0" customHeight="1">
      <x:c r="A71" s="8" t="str">
        <x:v>PRD-070</x:v>
      </x:c>
      <x:c r="B71" s="8" t="str">
        <x:v>SUP-025</x:v>
      </x:c>
      <x:c r="C71" s="8" t="str">
        <x:v>KOES BAKERY</x:v>
      </x:c>
      <x:c r="D71" s="8" t="str">
        <x:v>CHIFFON PREMIUM</x:v>
      </x:c>
      <x:c r="E71" s="8" t="n">
        <x:f>SUMIFS(STOK_AWAL!$F:$F,STOK_AWAL!$B:$B,$A71)</x:f>
        <x:v>0</x:v>
      </x:c>
      <x:c r="F71" s="8" t="n">
        <x:f>SUMIFS(TRANSAKSI_STOK!$G:$G,TRANSAKSI_STOK!$B:$B,$A71,TRANSAKSI_STOK!$F:$F,"IN")</x:f>
        <x:v>0</x:v>
      </x:c>
      <x:c r="G71" s="8" t="n">
        <x:f>SUMIFS(TRANSAKSI_STOK!$G:$G,TRANSAKSI_STOK!$B:$B,$A71,TRANSAKSI_STOK!$F:$F,"OUT")</x:f>
        <x:v>0</x:v>
      </x:c>
      <x:c r="H71" s="8" t="n">
        <x:f>SUMIFS(TRANSAKSI_STOK!$G:$G,TRANSAKSI_STOK!$B:$B,$A71,TRANSAKSI_STOK!$F:$F,"REJECT")</x:f>
        <x:v>0</x:v>
      </x:c>
      <x:c r="I71" s="8" t="n">
        <x:f>SUMIFS(TRANSAKSI_STOK!$G:$G,TRANSAKSI_STOK!$B:$B,$A71,TRANSAKSI_STOK!$F:$F,"EXPIRED")</x:f>
        <x:v>0</x:v>
      </x:c>
      <x:c r="J71" s="8" t="n">
        <x:f>E71+F71-G71-H71-I71</x:f>
        <x:v>0</x:v>
      </x:c>
      <x:c r="K71" s="8" t="str">
        <x:f>IF(J71&lt;=0,"HABIS",IF(J71&lt;=3,"MENIPIS","AMAN"))</x:f>
        <x:v>HABIS</x:v>
      </x:c>
    </x:row>
    <x:row r="72" ht="17.08984375" hidden="0" customHeight="1">
      <x:c r="A72" s="8" t="str">
        <x:v>PRD-071</x:v>
      </x:c>
      <x:c r="B72" s="8" t="str">
        <x:v>SUP-026</x:v>
      </x:c>
      <x:c r="C72" s="8" t="str">
        <x:v>KERING KENTANG MUSTOFA</x:v>
      </x:c>
      <x:c r="D72" s="8" t="str">
        <x:v>KERING KENTANG MUSTOFA</x:v>
      </x:c>
      <x:c r="E72" s="8" t="n">
        <x:f>SUMIFS(STOK_AWAL!$F:$F,STOK_AWAL!$B:$B,$A72)</x:f>
        <x:v>0</x:v>
      </x:c>
      <x:c r="F72" s="8" t="n">
        <x:f>SUMIFS(TRANSAKSI_STOK!$G:$G,TRANSAKSI_STOK!$B:$B,$A72,TRANSAKSI_STOK!$F:$F,"IN")</x:f>
        <x:v>0</x:v>
      </x:c>
      <x:c r="G72" s="8" t="n">
        <x:f>SUMIFS(TRANSAKSI_STOK!$G:$G,TRANSAKSI_STOK!$B:$B,$A72,TRANSAKSI_STOK!$F:$F,"OUT")</x:f>
        <x:v>0</x:v>
      </x:c>
      <x:c r="H72" s="8" t="n">
        <x:f>SUMIFS(TRANSAKSI_STOK!$G:$G,TRANSAKSI_STOK!$B:$B,$A72,TRANSAKSI_STOK!$F:$F,"REJECT")</x:f>
        <x:v>0</x:v>
      </x:c>
      <x:c r="I72" s="8" t="n">
        <x:f>SUMIFS(TRANSAKSI_STOK!$G:$G,TRANSAKSI_STOK!$B:$B,$A72,TRANSAKSI_STOK!$F:$F,"EXPIRED")</x:f>
        <x:v>0</x:v>
      </x:c>
      <x:c r="J72" s="8" t="n">
        <x:f>E72+F72-G72-H72-I72</x:f>
        <x:v>0</x:v>
      </x:c>
      <x:c r="K72" s="8" t="str">
        <x:f>IF(J72&lt;=0,"HABIS",IF(J72&lt;=3,"MENIPIS","AMAN"))</x:f>
        <x:v>HABIS</x:v>
      </x:c>
    </x:row>
    <x:row r="73" ht="17.08984375" hidden="0" customHeight="1">
      <x:c r="A73" s="8" t="str">
        <x:v>PRD-072</x:v>
      </x:c>
      <x:c r="B73" s="8" t="str">
        <x:v>SUP-026</x:v>
      </x:c>
      <x:c r="C73" s="8" t="str">
        <x:v>KERING KENTANG MUSTOFA</x:v>
      </x:c>
      <x:c r="D73" s="8" t="str">
        <x:v>SAMBAL PECEL</x:v>
      </x:c>
      <x:c r="E73" s="8" t="n">
        <x:f>SUMIFS(STOK_AWAL!$F:$F,STOK_AWAL!$B:$B,$A73)</x:f>
        <x:v>0</x:v>
      </x:c>
      <x:c r="F73" s="8" t="n">
        <x:f>SUMIFS(TRANSAKSI_STOK!$G:$G,TRANSAKSI_STOK!$B:$B,$A73,TRANSAKSI_STOK!$F:$F,"IN")</x:f>
        <x:v>0</x:v>
      </x:c>
      <x:c r="G73" s="8" t="n">
        <x:f>SUMIFS(TRANSAKSI_STOK!$G:$G,TRANSAKSI_STOK!$B:$B,$A73,TRANSAKSI_STOK!$F:$F,"OUT")</x:f>
        <x:v>0</x:v>
      </x:c>
      <x:c r="H73" s="8" t="n">
        <x:f>SUMIFS(TRANSAKSI_STOK!$G:$G,TRANSAKSI_STOK!$B:$B,$A73,TRANSAKSI_STOK!$F:$F,"REJECT")</x:f>
        <x:v>0</x:v>
      </x:c>
      <x:c r="I73" s="8" t="n">
        <x:f>SUMIFS(TRANSAKSI_STOK!$G:$G,TRANSAKSI_STOK!$B:$B,$A73,TRANSAKSI_STOK!$F:$F,"EXPIRED")</x:f>
        <x:v>0</x:v>
      </x:c>
      <x:c r="J73" s="8" t="n">
        <x:f>E73+F73-G73-H73-I73</x:f>
        <x:v>0</x:v>
      </x:c>
      <x:c r="K73" s="8" t="str">
        <x:f>IF(J73&lt;=0,"HABIS",IF(J73&lt;=3,"MENIPIS","AMAN"))</x:f>
        <x:v>HABIS</x:v>
      </x:c>
    </x:row>
  </x:sheetData>
  <x:conditionalFormatting sqref="K2:K73">
    <x:cfRule type="expression" dxfId="0" priority="1">
      <x:formula>K2="HABIS"</x:formula>
    </x:cfRule>
    <x:cfRule type="expression" dxfId="1" priority="2">
      <x:formula>K2="MENIPIS"</x:formula>
    </x:cfRule>
    <x:cfRule type="expression" dxfId="2" priority="3">
      <x:formula>K2="AMAN"</x:formula>
    </x:cfRule>
  </x:conditionalFormatting>
  <x:pageMargins left="0.7" right="0.7" top="0.75" bottom="0.75" header="0.3" footer="0.3"/>
</x:worksheet>
</file>